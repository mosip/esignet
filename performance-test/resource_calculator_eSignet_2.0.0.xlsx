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PerfReports\esignetGo\release\"/>
    </mc:Choice>
  </mc:AlternateContent>
  <xr:revisionPtr revIDLastSave="0" documentId="13_ncr:1_{B3B34141-9444-4C5A-9C0A-7C4EC6153146}" xr6:coauthVersionLast="36" xr6:coauthVersionMax="36" xr10:uidLastSave="{00000000-0000-0000-0000-000000000000}"/>
  <bookViews>
    <workbookView xWindow="0" yWindow="0" windowWidth="20490" windowHeight="7425" xr2:uid="{00000000-000D-0000-FFFF-FFFF00000000}"/>
  </bookViews>
  <sheets>
    <sheet name="ESigent_2.0.0" sheetId="7" r:id="rId1"/>
  </sheets>
  <calcPr calcId="191029"/>
</workbook>
</file>

<file path=xl/calcChain.xml><?xml version="1.0" encoding="utf-8"?>
<calcChain xmlns="http://schemas.openxmlformats.org/spreadsheetml/2006/main">
  <c r="D30" i="7" l="1"/>
  <c r="B15" i="7"/>
  <c r="B16" i="7" s="1"/>
  <c r="B17" i="7" s="1"/>
  <c r="F36" i="7"/>
  <c r="E36" i="7"/>
  <c r="B22" i="7" l="1"/>
  <c r="F35" i="7" l="1"/>
  <c r="F34" i="7"/>
  <c r="E35" i="7"/>
  <c r="E34" i="7"/>
  <c r="G35" i="7"/>
  <c r="G34" i="7"/>
  <c r="F38" i="7" l="1"/>
  <c r="F40" i="7" s="1"/>
  <c r="F41" i="7" s="1"/>
  <c r="F42" i="7" s="1"/>
  <c r="E38" i="7"/>
  <c r="E40" i="7" s="1"/>
  <c r="E41" i="7" s="1"/>
  <c r="E42" i="7" s="1"/>
  <c r="G38" i="7"/>
  <c r="G43" i="7"/>
  <c r="G26" i="7" s="1"/>
  <c r="F43" i="7" l="1"/>
  <c r="F26" i="7" s="1"/>
  <c r="E43" i="7"/>
  <c r="E2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Deepesh Gurung</author>
    <author/>
  </authors>
  <commentList>
    <comment ref="B22" authorId="0" shapeId="0" xr:uid="{3390D8A5-74DD-4A96-9F91-36595FA2AA27}">
      <text>
        <r>
          <rPr>
            <sz val="10"/>
            <color indexed="81"/>
            <rFont val="Arial"/>
            <family val="2"/>
            <scheme val="major"/>
          </rPr>
          <t>The Multiplying Factor is determined by dividing the expected TPS during the peak hour (cell B17) by the TPS observed in the performance run (cell B20). However, this factor is applied only as a whole number addition — it will not be used as a fractional divisor.</t>
        </r>
      </text>
    </comment>
    <comment ref="E40" authorId="1" shapeId="0" xr:uid="{F0ABCB16-EA28-4CF8-AA25-7858038D7924}">
      <text>
        <r>
          <rPr>
            <sz val="10"/>
            <color rgb="FF000000"/>
            <rFont val="Arial"/>
            <family val="2"/>
            <scheme val="minor"/>
          </rPr>
          <t>20% of total CPU is considered for monitoring , logging and alerts.</t>
        </r>
      </text>
    </comment>
    <comment ref="E41" authorId="1" shapeId="0" xr:uid="{0D23375E-580F-4B4C-BC52-713EB0691854}">
      <text>
        <r>
          <rPr>
            <sz val="10"/>
            <color rgb="FF000000"/>
            <rFont val="Arial"/>
            <family val="2"/>
            <scheme val="minor"/>
          </rPr>
          <t>30% of Monitoring is considered for kubernetes infra.</t>
        </r>
      </text>
    </comment>
    <comment ref="C47" authorId="1" shapeId="0" xr:uid="{75F4EBB4-EB1C-433E-90B6-1277812B6EF0}">
      <text>
        <r>
          <rPr>
            <sz val="10"/>
            <color rgb="FF000000"/>
            <rFont val="Arial"/>
            <family val="2"/>
            <scheme val="minor"/>
          </rPr>
          <t>This calculation is done per observed DB size growth of ~1GB after a 10hour test with 1.6M transactions</t>
        </r>
      </text>
    </comment>
    <comment ref="C48" authorId="1" shapeId="0" xr:uid="{C974523D-016B-44F1-A83F-52895B920FBC}">
      <text>
        <r>
          <rPr>
            <sz val="10"/>
            <color rgb="FF000000"/>
            <rFont val="Arial"/>
            <family val="2"/>
            <scheme val="minor"/>
          </rPr>
          <t>Memory growth peaked at ~100MB with config setup of 3600sec TTL. Total Trasactions within an hour was 160K.</t>
        </r>
      </text>
    </comment>
    <comment ref="C50" authorId="1" shapeId="0" xr:uid="{83DD3CA9-9D9A-455E-A0C1-E01F17890796}">
      <text>
        <r>
          <rPr>
            <sz val="10"/>
            <color rgb="FF000000"/>
            <rFont val="Arial"/>
            <family val="2"/>
            <scheme val="minor"/>
          </rPr>
          <t>1.6M OIDC flows generated 60 GB of logs. This way we can provide the storage required for the logs per OIDC flow.</t>
        </r>
      </text>
    </comment>
    <comment ref="C51" authorId="1" shapeId="0" xr:uid="{75981337-4476-41D6-A571-20029C17A71E}">
      <text>
        <r>
          <rPr>
            <sz val="10"/>
            <color rgb="FF000000"/>
            <rFont val="Arial"/>
            <family val="2"/>
            <scheme val="minor"/>
          </rPr>
          <t>This is the size calculated for the logs generated, when we bring up the eSignet service.</t>
        </r>
      </text>
    </comment>
  </commentList>
</comments>
</file>

<file path=xl/sharedStrings.xml><?xml version="1.0" encoding="utf-8"?>
<sst xmlns="http://schemas.openxmlformats.org/spreadsheetml/2006/main" count="60" uniqueCount="53">
  <si>
    <t xml:space="preserve">Calculates CPU, RAM and Storage required for eSignet </t>
  </si>
  <si>
    <t>Data to be provided by country</t>
  </si>
  <si>
    <t>Values</t>
  </si>
  <si>
    <t>Total Population Having registered National ID</t>
  </si>
  <si>
    <t>Percentage of Population using National ID for authentication</t>
  </si>
  <si>
    <t>Percentage of Population using National ID for authentication during peak hour</t>
  </si>
  <si>
    <t>Total Population using National ID for authentication</t>
  </si>
  <si>
    <t>Total Population using National ID for authentication during peak Hour</t>
  </si>
  <si>
    <t>Performance Run TPS</t>
  </si>
  <si>
    <t>Factor required to match the expected peak hour TPS</t>
  </si>
  <si>
    <t>Services</t>
  </si>
  <si>
    <t>eSignet</t>
  </si>
  <si>
    <t>eSignet-ui</t>
  </si>
  <si>
    <t>PostGres (Standalone)</t>
  </si>
  <si>
    <t>Buffers</t>
  </si>
  <si>
    <t>B - Kubernetes infra. (30% of A)</t>
  </si>
  <si>
    <t>C - Buffer in the system. (30% of B)</t>
  </si>
  <si>
    <t>Total Resources required</t>
  </si>
  <si>
    <t xml:space="preserve">Storage </t>
  </si>
  <si>
    <t>Postgres DB(mosip_esignet)</t>
  </si>
  <si>
    <t>NA</t>
  </si>
  <si>
    <t>Redis per OIDC Flow</t>
  </si>
  <si>
    <t>Redis - Total Population</t>
  </si>
  <si>
    <t>Logs - Per OIDC flow (Elasticsearch)</t>
  </si>
  <si>
    <t>Start Up &amp; Liveness Check - Logs</t>
  </si>
  <si>
    <t>8MB/Day</t>
  </si>
  <si>
    <t xml:space="preserve">Key Inputs </t>
  </si>
  <si>
    <t>Data based on Industry standards</t>
  </si>
  <si>
    <t>Additional Assumptions</t>
  </si>
  <si>
    <t>Calculation based on Key Input and Assumptions</t>
  </si>
  <si>
    <t>No. of users using the system in any given second during the peak hour - TPS</t>
  </si>
  <si>
    <t>Performance Observed during Internal Test</t>
  </si>
  <si>
    <t>vCPU</t>
  </si>
  <si>
    <t>RAM</t>
  </si>
  <si>
    <t>pods</t>
  </si>
  <si>
    <t>Calculation</t>
  </si>
  <si>
    <t>Resource used in Internal Test</t>
  </si>
  <si>
    <t xml:space="preserve"> Resources Required</t>
  </si>
  <si>
    <t>Total 
RAM (GB)</t>
  </si>
  <si>
    <t>Total pods 
required 
for 
Peak hour</t>
  </si>
  <si>
    <t>A - Monitoring, Logging and alerts. (20% of Total CPU &amp; memory)</t>
  </si>
  <si>
    <t>VCPU</t>
  </si>
  <si>
    <t>eSignet 2.0.0 Resource Calculator - Mock IDA</t>
  </si>
  <si>
    <t>vCPU 
per
pod</t>
  </si>
  <si>
    <t>RAM (GB) 
per
pod</t>
  </si>
  <si>
    <t>Total
vCPU</t>
  </si>
  <si>
    <t xml:space="preserve">Redis </t>
  </si>
  <si>
    <r>
      <rPr>
        <b/>
        <sz val="10"/>
        <color theme="1"/>
        <rFont val="Arial"/>
        <family val="2"/>
        <scheme val="minor"/>
      </rPr>
      <t>Note:</t>
    </r>
    <r>
      <rPr>
        <sz val="10"/>
        <color theme="1"/>
        <rFont val="Arial"/>
        <family val="2"/>
        <scheme val="minor"/>
      </rPr>
      <t xml:space="preserve"> Additionally we need to consider the Infra logging and bufer in the system, however can only predict the storage calculation, compute for the same but we will have to leave it to the respective enterprise development version .</t>
    </r>
  </si>
  <si>
    <t>user supplied data</t>
  </si>
  <si>
    <t>Calculated values</t>
  </si>
  <si>
    <t>Note: The RAM requirement varies with upstream ID authentication response time. The numbers have been achieve by testing 1,3 and 5sec delay.
For ID authentication response time of &gt;5 seconds, a retest needs to be conducted and values in similarly colored Grey cells</t>
  </si>
  <si>
    <t>0.6KB</t>
  </si>
  <si>
    <t>37 KB/OIDC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</si>
</sst>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0"/>
      <color rgb="FF000000"/>
      <name val="Arial"/>
      <charset val="134"/>
      <scheme val="minor"/>
    </font>
    <font>
      <b/>
      <sz val="10"/>
      <color theme="1"/>
      <name val="Arial"/>
      <family val="2"/>
      <scheme val="minor"/>
    </font>
    <font>
      <sz val="10"/>
      <color theme="1"/>
      <name val="Arial"/>
      <family val="2"/>
      <scheme val="minor"/>
    </font>
    <font>
      <sz val="10"/>
      <color rgb="FF000000"/>
      <name val="Arial"/>
      <family val="2"/>
      <scheme val="minor"/>
    </font>
    <font>
      <sz val="10"/>
      <color rgb="FF000000"/>
      <name val="Arial"/>
      <family val="2"/>
      <scheme val="minor"/>
    </font>
    <font>
      <b/>
      <sz val="10"/>
      <color rgb="FF000000"/>
      <name val="Arial"/>
      <family val="2"/>
      <scheme val="minor"/>
    </font>
    <font>
      <sz val="10"/>
      <color rgb="FF000000"/>
      <name val="Arial"/>
      <family val="2"/>
      <scheme val="minor"/>
    </font>
    <font>
      <b/>
      <sz val="10"/>
      <color theme="1"/>
      <name val="Arial"/>
      <family val="2"/>
      <scheme val="minor"/>
    </font>
    <font>
      <sz val="10"/>
      <color theme="1"/>
      <name val="Arial"/>
      <family val="2"/>
      <scheme val="minor"/>
    </font>
    <font>
      <b/>
      <sz val="16"/>
      <color theme="1"/>
      <name val="Arial"/>
      <family val="2"/>
      <scheme val="minor"/>
    </font>
    <font>
      <i/>
      <sz val="10"/>
      <color theme="1"/>
      <name val="Arial"/>
      <family val="2"/>
      <scheme val="minor"/>
    </font>
    <font>
      <b/>
      <sz val="10"/>
      <color theme="1"/>
      <name val="Montserrat"/>
    </font>
    <font>
      <sz val="14"/>
      <color theme="1"/>
      <name val="Arial"/>
      <family val="2"/>
      <scheme val="minor"/>
    </font>
    <font>
      <sz val="16"/>
      <color theme="1"/>
      <name val="Arial"/>
      <family val="2"/>
      <scheme val="minor"/>
    </font>
    <font>
      <b/>
      <sz val="12"/>
      <color theme="1"/>
      <name val="Arial"/>
      <family val="2"/>
      <scheme val="minor"/>
    </font>
    <font>
      <sz val="12"/>
      <color theme="1"/>
      <name val="Arial"/>
      <family val="2"/>
      <scheme val="minor"/>
    </font>
    <font>
      <sz val="15"/>
      <color rgb="FFD1D2D3"/>
      <name val="Arial"/>
      <family val="2"/>
      <scheme val="minor"/>
    </font>
    <font>
      <sz val="10"/>
      <color indexed="81"/>
      <name val="Arial"/>
      <family val="2"/>
      <scheme val="major"/>
    </font>
    <font>
      <sz val="10"/>
      <name val="Arial"/>
      <family val="2"/>
      <scheme val="minor"/>
    </font>
    <font>
      <sz val="10"/>
      <color rgb="FFFF0000"/>
      <name val="Arial"/>
      <family val="2"/>
      <scheme val="minor"/>
    </font>
  </fonts>
  <fills count="14">
    <fill>
      <patternFill patternType="none"/>
    </fill>
    <fill>
      <patternFill patternType="gray125"/>
    </fill>
    <fill>
      <patternFill patternType="solid">
        <fgColor theme="0"/>
        <bgColor theme="0"/>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B4A7D6"/>
        <bgColor rgb="FFB4A7D6"/>
      </patternFill>
    </fill>
    <fill>
      <patternFill patternType="solid">
        <fgColor theme="4" tint="0.79998168889431442"/>
        <bgColor indexed="64"/>
      </patternFill>
    </fill>
    <fill>
      <patternFill patternType="solid">
        <fgColor theme="6" tint="0.79998168889431442"/>
        <bgColor rgb="FFD9EAD3"/>
      </patternFill>
    </fill>
    <fill>
      <patternFill patternType="solid">
        <fgColor theme="0" tint="-4.9989318521683403E-2"/>
        <bgColor rgb="FFFCE5CD"/>
      </patternFill>
    </fill>
    <fill>
      <patternFill patternType="solid">
        <fgColor theme="8" tint="0.79998168889431442"/>
        <bgColor rgb="FFFCE5CD"/>
      </patternFill>
    </fill>
    <fill>
      <patternFill patternType="solid">
        <fgColor theme="6" tint="0.59999389629810485"/>
        <bgColor rgb="FFB4A7D6"/>
      </patternFill>
    </fill>
    <fill>
      <patternFill patternType="solid">
        <fgColor theme="0" tint="-4.9989318521683403E-2"/>
        <bgColor indexed="64"/>
      </patternFill>
    </fill>
    <fill>
      <patternFill patternType="solid">
        <fgColor theme="4" tint="0.59999389629810485"/>
        <bgColor indexed="64"/>
      </patternFill>
    </fill>
  </fills>
  <borders count="4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indexed="64"/>
      </left>
      <right/>
      <top style="medium">
        <color indexed="64"/>
      </top>
      <bottom style="medium">
        <color indexed="64"/>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right style="medium">
        <color indexed="64"/>
      </right>
      <top/>
      <bottom/>
      <diagonal/>
    </border>
    <border>
      <left style="medium">
        <color indexed="64"/>
      </left>
      <right style="medium">
        <color rgb="FF000000"/>
      </right>
      <top/>
      <bottom/>
      <diagonal/>
    </border>
    <border>
      <left/>
      <right style="medium">
        <color indexed="64"/>
      </right>
      <top/>
      <bottom style="medium">
        <color indexed="64"/>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4" fillId="0" borderId="0"/>
    <xf numFmtId="0" fontId="6" fillId="0" borderId="0"/>
  </cellStyleXfs>
  <cellXfs count="124">
    <xf numFmtId="0" fontId="0" fillId="0" borderId="0" xfId="0"/>
    <xf numFmtId="0" fontId="0" fillId="0" borderId="0" xfId="0"/>
    <xf numFmtId="0" fontId="0" fillId="0" borderId="0" xfId="0" applyAlignment="1"/>
    <xf numFmtId="0" fontId="6" fillId="0" borderId="0" xfId="0" applyFont="1" applyAlignment="1"/>
    <xf numFmtId="0" fontId="6" fillId="0" borderId="0" xfId="0" applyFont="1" applyAlignment="1">
      <alignment horizontal="left" vertical="center"/>
    </xf>
    <xf numFmtId="0" fontId="7" fillId="0" borderId="0" xfId="0" applyFont="1" applyAlignment="1">
      <alignment horizontal="left" vertical="center"/>
    </xf>
    <xf numFmtId="0" fontId="7" fillId="0" borderId="14" xfId="0" applyFont="1" applyBorder="1" applyAlignment="1">
      <alignment horizontal="left" vertical="center"/>
    </xf>
    <xf numFmtId="0" fontId="8" fillId="0" borderId="17" xfId="0" applyFont="1" applyFill="1" applyBorder="1" applyAlignment="1">
      <alignment horizontal="left" vertical="center"/>
    </xf>
    <xf numFmtId="0" fontId="8" fillId="0" borderId="16" xfId="0" applyFont="1" applyFill="1" applyBorder="1" applyAlignment="1">
      <alignment horizontal="left" vertical="center"/>
    </xf>
    <xf numFmtId="9" fontId="8" fillId="0" borderId="0" xfId="0" applyNumberFormat="1" applyFont="1" applyFill="1" applyBorder="1" applyAlignment="1">
      <alignment horizontal="right" vertical="center"/>
    </xf>
    <xf numFmtId="0" fontId="6" fillId="0" borderId="0" xfId="0" quotePrefix="1" applyFont="1" applyAlignment="1">
      <alignment horizontal="left" vertical="center"/>
    </xf>
    <xf numFmtId="0" fontId="6" fillId="0" borderId="0" xfId="0" applyFont="1" applyAlignment="1">
      <alignment horizontal="right" vertical="center"/>
    </xf>
    <xf numFmtId="0" fontId="7" fillId="0" borderId="21" xfId="0" applyFont="1" applyBorder="1" applyAlignment="1">
      <alignment horizontal="left" vertical="center"/>
    </xf>
    <xf numFmtId="0" fontId="7" fillId="0" borderId="22" xfId="0" applyFont="1" applyBorder="1" applyAlignment="1">
      <alignment horizontal="right" vertical="center"/>
    </xf>
    <xf numFmtId="0" fontId="8" fillId="0" borderId="23" xfId="0" applyFont="1" applyBorder="1" applyAlignment="1">
      <alignment horizontal="left" vertical="center"/>
    </xf>
    <xf numFmtId="3" fontId="8" fillId="8" borderId="24" xfId="0" applyNumberFormat="1" applyFont="1" applyFill="1" applyBorder="1" applyAlignment="1">
      <alignment horizontal="right" vertical="center"/>
    </xf>
    <xf numFmtId="0" fontId="8" fillId="0" borderId="25" xfId="0" applyFont="1" applyBorder="1" applyAlignment="1">
      <alignment horizontal="left" vertical="center"/>
    </xf>
    <xf numFmtId="0" fontId="8" fillId="0" borderId="20" xfId="0" applyFont="1" applyBorder="1" applyAlignment="1">
      <alignment horizontal="left" vertical="center"/>
    </xf>
    <xf numFmtId="0" fontId="8" fillId="0" borderId="22" xfId="0" applyFont="1" applyBorder="1" applyAlignment="1">
      <alignment horizontal="right" vertical="center"/>
    </xf>
    <xf numFmtId="0" fontId="8" fillId="0" borderId="27" xfId="0" applyFont="1" applyBorder="1" applyAlignment="1">
      <alignment horizontal="left" vertical="center"/>
    </xf>
    <xf numFmtId="0" fontId="8" fillId="9" borderId="28" xfId="0" applyFont="1" applyFill="1" applyBorder="1" applyAlignment="1">
      <alignment horizontal="right" vertical="center"/>
    </xf>
    <xf numFmtId="0" fontId="8" fillId="0" borderId="8" xfId="0" applyFont="1" applyBorder="1" applyAlignment="1">
      <alignment horizontal="left" vertical="center"/>
    </xf>
    <xf numFmtId="0" fontId="8" fillId="0" borderId="0" xfId="0" applyFont="1" applyFill="1" applyBorder="1" applyAlignment="1">
      <alignment horizontal="right" vertical="center"/>
    </xf>
    <xf numFmtId="0" fontId="12" fillId="0" borderId="29" xfId="0" applyFont="1" applyBorder="1" applyAlignment="1">
      <alignment horizontal="left" vertical="center"/>
    </xf>
    <xf numFmtId="0" fontId="12" fillId="10" borderId="30" xfId="0" applyFont="1" applyFill="1" applyBorder="1" applyAlignment="1">
      <alignment horizontal="right" vertical="center"/>
    </xf>
    <xf numFmtId="0" fontId="8" fillId="0" borderId="0" xfId="0" applyFont="1" applyAlignment="1">
      <alignment horizontal="left" vertical="center"/>
    </xf>
    <xf numFmtId="0" fontId="5" fillId="0" borderId="31" xfId="0" applyFont="1" applyBorder="1" applyAlignment="1">
      <alignment horizontal="center" vertical="center"/>
    </xf>
    <xf numFmtId="0" fontId="13" fillId="11" borderId="13" xfId="0" applyFont="1" applyFill="1" applyBorder="1" applyAlignment="1">
      <alignment horizontal="left" vertical="center"/>
    </xf>
    <xf numFmtId="0" fontId="13" fillId="11" borderId="32" xfId="0" applyFont="1" applyFill="1" applyBorder="1" applyAlignment="1">
      <alignment horizontal="left" vertical="center"/>
    </xf>
    <xf numFmtId="3" fontId="13" fillId="11" borderId="32" xfId="0" applyNumberFormat="1" applyFont="1" applyFill="1" applyBorder="1" applyAlignment="1">
      <alignment horizontal="right" vertical="center"/>
    </xf>
    <xf numFmtId="3" fontId="13" fillId="11" borderId="30" xfId="0" applyNumberFormat="1" applyFont="1" applyFill="1" applyBorder="1" applyAlignment="1">
      <alignment horizontal="right" vertical="center"/>
    </xf>
    <xf numFmtId="49" fontId="8" fillId="0" borderId="33" xfId="0" applyNumberFormat="1" applyFont="1" applyFill="1" applyBorder="1" applyAlignment="1">
      <alignment horizontal="left" vertical="center"/>
    </xf>
    <xf numFmtId="164" fontId="8" fillId="9" borderId="33" xfId="0" applyNumberFormat="1" applyFont="1" applyFill="1" applyBorder="1" applyAlignment="1">
      <alignment horizontal="right" vertical="center"/>
    </xf>
    <xf numFmtId="0" fontId="8" fillId="9" borderId="33" xfId="0" applyFont="1" applyFill="1" applyBorder="1" applyAlignment="1">
      <alignment horizontal="right" vertical="center"/>
    </xf>
    <xf numFmtId="0" fontId="8" fillId="4" borderId="33" xfId="0" applyFont="1" applyFill="1" applyBorder="1" applyAlignment="1">
      <alignment horizontal="right" vertical="center"/>
    </xf>
    <xf numFmtId="0" fontId="8" fillId="0" borderId="15" xfId="0" applyFont="1" applyBorder="1" applyAlignment="1">
      <alignment horizontal="left" vertical="center"/>
    </xf>
    <xf numFmtId="164" fontId="8" fillId="9" borderId="15" xfId="0" applyNumberFormat="1" applyFont="1" applyFill="1" applyBorder="1" applyAlignment="1">
      <alignment horizontal="right" vertical="center"/>
    </xf>
    <xf numFmtId="0" fontId="8" fillId="9" borderId="15" xfId="0" applyFont="1" applyFill="1" applyBorder="1" applyAlignment="1">
      <alignment horizontal="right" vertical="center"/>
    </xf>
    <xf numFmtId="164" fontId="8" fillId="4" borderId="15" xfId="0" applyNumberFormat="1" applyFont="1" applyFill="1" applyBorder="1" applyAlignment="1">
      <alignment horizontal="right" vertical="center"/>
    </xf>
    <xf numFmtId="0" fontId="8" fillId="0" borderId="15" xfId="0" applyFont="1" applyBorder="1" applyAlignment="1">
      <alignment horizontal="right" vertical="center"/>
    </xf>
    <xf numFmtId="0" fontId="8" fillId="0" borderId="18" xfId="0" applyFont="1" applyBorder="1" applyAlignment="1">
      <alignment horizontal="left" vertical="center"/>
    </xf>
    <xf numFmtId="164" fontId="8" fillId="9" borderId="18" xfId="0" applyNumberFormat="1" applyFont="1" applyFill="1" applyBorder="1" applyAlignment="1">
      <alignment horizontal="right" vertical="center"/>
    </xf>
    <xf numFmtId="0" fontId="8" fillId="9" borderId="18" xfId="0" applyFont="1" applyFill="1" applyBorder="1" applyAlignment="1">
      <alignment horizontal="right" vertical="center"/>
    </xf>
    <xf numFmtId="164" fontId="8" fillId="0" borderId="18" xfId="0" applyNumberFormat="1" applyFont="1" applyBorder="1" applyAlignment="1">
      <alignment horizontal="right" vertical="center"/>
    </xf>
    <xf numFmtId="0" fontId="8" fillId="0" borderId="18" xfId="0" applyFont="1" applyBorder="1" applyAlignment="1">
      <alignment horizontal="right" vertical="center"/>
    </xf>
    <xf numFmtId="0" fontId="5" fillId="4" borderId="16" xfId="0" applyFont="1" applyFill="1" applyBorder="1" applyAlignment="1">
      <alignment horizontal="left" vertical="center"/>
    </xf>
    <xf numFmtId="0" fontId="8" fillId="0" borderId="0" xfId="0" applyFont="1" applyBorder="1" applyAlignment="1">
      <alignment horizontal="right" vertical="center"/>
    </xf>
    <xf numFmtId="0" fontId="8" fillId="0" borderId="17" xfId="0" applyFont="1" applyBorder="1" applyAlignment="1">
      <alignment horizontal="right" vertical="center"/>
    </xf>
    <xf numFmtId="0" fontId="5" fillId="5" borderId="34" xfId="0" applyFont="1" applyFill="1" applyBorder="1" applyAlignment="1">
      <alignment horizontal="left" vertical="center"/>
    </xf>
    <xf numFmtId="0" fontId="8" fillId="3" borderId="10" xfId="0" applyFont="1" applyFill="1" applyBorder="1" applyAlignment="1">
      <alignment horizontal="left" vertical="center"/>
    </xf>
    <xf numFmtId="0" fontId="8" fillId="3" borderId="9" xfId="0" applyFont="1" applyFill="1" applyBorder="1" applyAlignment="1">
      <alignment horizontal="left" vertical="center"/>
    </xf>
    <xf numFmtId="0" fontId="8" fillId="3" borderId="4" xfId="0" applyFont="1" applyFill="1" applyBorder="1" applyAlignment="1">
      <alignment horizontal="left" vertical="center"/>
    </xf>
    <xf numFmtId="0" fontId="8" fillId="3" borderId="35" xfId="0" applyFont="1" applyFill="1" applyBorder="1" applyAlignment="1">
      <alignment horizontal="left" vertical="center"/>
    </xf>
    <xf numFmtId="0" fontId="6" fillId="0" borderId="16" xfId="0" applyFont="1" applyBorder="1" applyAlignment="1">
      <alignment horizontal="left" vertical="center"/>
    </xf>
    <xf numFmtId="0" fontId="8" fillId="0" borderId="0" xfId="0" applyFont="1" applyBorder="1" applyAlignment="1">
      <alignment horizontal="left" vertical="center"/>
    </xf>
    <xf numFmtId="164" fontId="8" fillId="0" borderId="0" xfId="0" applyNumberFormat="1" applyFont="1" applyBorder="1" applyAlignment="1">
      <alignment horizontal="right" vertical="center"/>
    </xf>
    <xf numFmtId="164" fontId="8" fillId="0" borderId="3" xfId="0" applyNumberFormat="1" applyFont="1" applyBorder="1" applyAlignment="1">
      <alignment horizontal="right" vertical="center"/>
    </xf>
    <xf numFmtId="0" fontId="8" fillId="0" borderId="24" xfId="0" applyFont="1" applyBorder="1" applyAlignment="1">
      <alignment horizontal="right" vertical="center"/>
    </xf>
    <xf numFmtId="0" fontId="14" fillId="6" borderId="36" xfId="0" applyFont="1" applyFill="1" applyBorder="1" applyAlignment="1">
      <alignment horizontal="left" vertical="center"/>
    </xf>
    <xf numFmtId="0" fontId="15" fillId="6" borderId="9" xfId="0" applyFont="1" applyFill="1" applyBorder="1" applyAlignment="1">
      <alignment horizontal="left" vertical="center"/>
    </xf>
    <xf numFmtId="3" fontId="14" fillId="6" borderId="9" xfId="0" applyNumberFormat="1" applyFont="1" applyFill="1" applyBorder="1" applyAlignment="1">
      <alignment horizontal="right" vertical="center"/>
    </xf>
    <xf numFmtId="3" fontId="14" fillId="6" borderId="4" xfId="0" applyNumberFormat="1" applyFont="1" applyFill="1" applyBorder="1" applyAlignment="1">
      <alignment horizontal="right" vertical="center"/>
    </xf>
    <xf numFmtId="3" fontId="14" fillId="6" borderId="37" xfId="0" applyNumberFormat="1" applyFont="1" applyFill="1" applyBorder="1" applyAlignment="1">
      <alignment horizontal="right" vertical="center"/>
    </xf>
    <xf numFmtId="0" fontId="6" fillId="0" borderId="0" xfId="0" applyFont="1" applyBorder="1" applyAlignment="1">
      <alignment horizontal="left" vertical="center"/>
    </xf>
    <xf numFmtId="0" fontId="9" fillId="2" borderId="1" xfId="0" applyFont="1" applyFill="1" applyBorder="1" applyAlignment="1">
      <alignment horizontal="left" vertical="center"/>
    </xf>
    <xf numFmtId="0" fontId="10" fillId="0" borderId="1" xfId="0" applyFont="1" applyBorder="1" applyAlignment="1">
      <alignment horizontal="left" vertical="center"/>
    </xf>
    <xf numFmtId="0" fontId="10" fillId="0" borderId="0" xfId="0" applyFont="1" applyBorder="1" applyAlignment="1">
      <alignment horizontal="left" vertical="center"/>
    </xf>
    <xf numFmtId="0" fontId="5" fillId="0" borderId="13" xfId="0" applyFont="1" applyFill="1" applyBorder="1" applyAlignment="1"/>
    <xf numFmtId="0" fontId="6" fillId="0" borderId="0" xfId="0" applyFont="1" applyAlignment="1">
      <alignment vertical="top"/>
    </xf>
    <xf numFmtId="0" fontId="11" fillId="0" borderId="16" xfId="0" applyFont="1" applyFill="1" applyBorder="1" applyAlignment="1">
      <alignment horizontal="left" vertical="center"/>
    </xf>
    <xf numFmtId="0" fontId="11" fillId="0" borderId="13" xfId="0" applyFont="1" applyBorder="1" applyAlignment="1">
      <alignment horizontal="left" vertical="center"/>
    </xf>
    <xf numFmtId="0" fontId="7" fillId="0" borderId="19" xfId="0" applyFont="1" applyBorder="1" applyAlignment="1"/>
    <xf numFmtId="0" fontId="11" fillId="0" borderId="21" xfId="0" applyFont="1" applyBorder="1" applyAlignment="1"/>
    <xf numFmtId="0" fontId="0" fillId="0" borderId="0" xfId="0" applyBorder="1" applyAlignment="1"/>
    <xf numFmtId="0" fontId="16" fillId="0" borderId="0" xfId="0" applyFont="1" applyAlignment="1">
      <alignment horizontal="left" vertical="center"/>
    </xf>
    <xf numFmtId="0" fontId="0" fillId="0" borderId="0" xfId="0" applyAlignment="1">
      <alignment horizontal="left" vertical="center"/>
    </xf>
    <xf numFmtId="0" fontId="8" fillId="0" borderId="38" xfId="0" applyFont="1" applyFill="1" applyBorder="1" applyAlignment="1">
      <alignment horizontal="left" vertical="center"/>
    </xf>
    <xf numFmtId="0" fontId="8" fillId="0" borderId="13" xfId="0" applyFont="1" applyFill="1" applyBorder="1" applyAlignment="1">
      <alignment horizontal="left" vertical="center"/>
    </xf>
    <xf numFmtId="3" fontId="8" fillId="7" borderId="19" xfId="0" applyNumberFormat="1" applyFont="1" applyFill="1" applyBorder="1" applyAlignment="1">
      <alignment horizontal="right" vertical="center"/>
    </xf>
    <xf numFmtId="0" fontId="7" fillId="3" borderId="12" xfId="0" applyFont="1" applyFill="1" applyBorder="1" applyAlignment="1">
      <alignment horizontal="left" vertical="center" wrapText="1"/>
    </xf>
    <xf numFmtId="49" fontId="8" fillId="3" borderId="10" xfId="0" applyNumberFormat="1" applyFont="1" applyFill="1" applyBorder="1" applyAlignment="1">
      <alignment horizontal="left" vertical="center" wrapText="1"/>
    </xf>
    <xf numFmtId="0" fontId="8" fillId="3" borderId="10"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8" fillId="3" borderId="5" xfId="0" applyFont="1" applyFill="1" applyBorder="1"/>
    <xf numFmtId="0" fontId="8" fillId="0" borderId="6" xfId="0" applyFont="1" applyBorder="1" applyAlignment="1">
      <alignment horizontal="left" vertical="center" wrapText="1"/>
    </xf>
    <xf numFmtId="49" fontId="8" fillId="4" borderId="7" xfId="0" applyNumberFormat="1" applyFont="1" applyFill="1" applyBorder="1" applyAlignment="1">
      <alignment horizontal="left" vertical="center" wrapText="1"/>
    </xf>
    <xf numFmtId="0" fontId="8" fillId="0" borderId="2" xfId="0" applyFont="1" applyBorder="1"/>
    <xf numFmtId="0" fontId="8" fillId="0" borderId="8" xfId="0" applyFont="1" applyBorder="1" applyAlignment="1">
      <alignment horizontal="left" vertical="center" wrapText="1"/>
    </xf>
    <xf numFmtId="49" fontId="8" fillId="4" borderId="0" xfId="0" applyNumberFormat="1" applyFont="1" applyFill="1" applyAlignment="1">
      <alignment horizontal="left" vertical="center" wrapText="1"/>
    </xf>
    <xf numFmtId="0" fontId="8" fillId="0" borderId="3" xfId="0" applyFont="1" applyBorder="1"/>
    <xf numFmtId="0" fontId="8" fillId="0" borderId="11" xfId="0" applyFont="1" applyBorder="1" applyAlignment="1">
      <alignment horizontal="left" vertical="center" wrapText="1"/>
    </xf>
    <xf numFmtId="49" fontId="8" fillId="4" borderId="9" xfId="0" applyNumberFormat="1" applyFont="1" applyFill="1" applyBorder="1" applyAlignment="1">
      <alignment horizontal="left" vertical="center" wrapText="1"/>
    </xf>
    <xf numFmtId="0" fontId="8" fillId="4" borderId="4" xfId="0" applyFont="1" applyFill="1" applyBorder="1" applyAlignment="1">
      <alignment horizontal="left" vertical="center" wrapText="1"/>
    </xf>
    <xf numFmtId="49" fontId="8" fillId="0" borderId="9" xfId="0" applyNumberFormat="1" applyFont="1" applyBorder="1" applyAlignment="1">
      <alignment horizontal="left" vertical="center" wrapText="1"/>
    </xf>
    <xf numFmtId="0" fontId="8" fillId="0" borderId="4" xfId="0" applyFont="1" applyBorder="1"/>
    <xf numFmtId="3" fontId="8" fillId="8" borderId="26" xfId="0" applyNumberFormat="1" applyFont="1" applyFill="1" applyBorder="1" applyAlignment="1">
      <alignment horizontal="right" vertical="center"/>
    </xf>
    <xf numFmtId="0" fontId="2" fillId="0" borderId="0" xfId="0" applyFont="1" applyAlignment="1"/>
    <xf numFmtId="0" fontId="5" fillId="0" borderId="0" xfId="0" applyFont="1" applyFill="1" applyAlignment="1">
      <alignment vertical="top"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9" fontId="8" fillId="13" borderId="39" xfId="0" applyNumberFormat="1" applyFont="1" applyFill="1" applyBorder="1" applyAlignment="1"/>
    <xf numFmtId="9" fontId="8" fillId="13" borderId="40" xfId="0" applyNumberFormat="1" applyFont="1" applyFill="1" applyBorder="1" applyAlignment="1"/>
    <xf numFmtId="0" fontId="7" fillId="3" borderId="15" xfId="0" applyFont="1" applyFill="1" applyBorder="1" applyAlignment="1">
      <alignment horizontal="center" vertical="center"/>
    </xf>
    <xf numFmtId="0" fontId="7" fillId="3" borderId="33" xfId="0" applyFont="1" applyFill="1" applyBorder="1" applyAlignment="1">
      <alignment horizontal="center" vertical="center"/>
    </xf>
    <xf numFmtId="0" fontId="7" fillId="3" borderId="18" xfId="0" applyFont="1" applyFill="1" applyBorder="1" applyAlignment="1">
      <alignment horizontal="center" vertical="center"/>
    </xf>
    <xf numFmtId="49" fontId="7" fillId="3" borderId="15" xfId="0" applyNumberFormat="1" applyFont="1" applyFill="1" applyBorder="1" applyAlignment="1">
      <alignment horizontal="center" vertical="center" wrapText="1"/>
    </xf>
    <xf numFmtId="49" fontId="7" fillId="3" borderId="33"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0" fontId="7" fillId="3" borderId="15" xfId="0" applyFont="1" applyFill="1" applyBorder="1" applyAlignment="1">
      <alignment horizontal="center" vertical="center" wrapText="1"/>
    </xf>
    <xf numFmtId="0" fontId="2" fillId="0" borderId="0" xfId="0" applyFont="1" applyBorder="1" applyAlignment="1">
      <alignment horizontal="center" vertical="top"/>
    </xf>
    <xf numFmtId="0" fontId="2" fillId="0" borderId="16" xfId="0" applyFont="1" applyBorder="1" applyAlignment="1">
      <alignment horizontal="center" vertical="center"/>
    </xf>
    <xf numFmtId="0" fontId="19" fillId="0" borderId="0" xfId="0" applyFont="1" applyAlignment="1">
      <alignment horizontal="center" vertical="center"/>
    </xf>
    <xf numFmtId="0" fontId="19" fillId="0" borderId="16" xfId="0" applyFont="1" applyBorder="1" applyAlignment="1">
      <alignment horizontal="center" vertical="center"/>
    </xf>
    <xf numFmtId="0" fontId="5" fillId="12" borderId="0" xfId="0" applyFont="1" applyFill="1" applyAlignment="1">
      <alignment horizontal="left" vertical="top" wrapText="1"/>
    </xf>
    <xf numFmtId="0" fontId="8" fillId="0" borderId="6" xfId="0" applyFont="1" applyBorder="1" applyAlignment="1">
      <alignment horizontal="left" vertical="center" wrapText="1"/>
    </xf>
    <xf numFmtId="0" fontId="18" fillId="0" borderId="7" xfId="0" applyFont="1" applyBorder="1"/>
    <xf numFmtId="0" fontId="18" fillId="0" borderId="8" xfId="0" applyFont="1" applyBorder="1"/>
    <xf numFmtId="0" fontId="6" fillId="0" borderId="0" xfId="0" applyFont="1"/>
    <xf numFmtId="0" fontId="18" fillId="0" borderId="11" xfId="0" applyFont="1" applyBorder="1"/>
    <xf numFmtId="0" fontId="18" fillId="0" borderId="9" xfId="0" applyFont="1" applyBorder="1"/>
    <xf numFmtId="0" fontId="3" fillId="0" borderId="13" xfId="0" applyFont="1" applyBorder="1" applyAlignment="1">
      <alignment horizontal="center"/>
    </xf>
    <xf numFmtId="0" fontId="6" fillId="0" borderId="32" xfId="0" applyFont="1" applyBorder="1" applyAlignment="1">
      <alignment horizontal="center"/>
    </xf>
    <xf numFmtId="0" fontId="0" fillId="0" borderId="32" xfId="0" applyBorder="1" applyAlignment="1">
      <alignment horizontal="center"/>
    </xf>
    <xf numFmtId="0" fontId="0" fillId="0" borderId="30" xfId="0" applyBorder="1" applyAlignment="1">
      <alignment horizontal="center"/>
    </xf>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1" Type="http://www.wps.cn/officeDocument/2023/relationships/customStorage" Target="customStorage/customStorage.xml"/><Relationship Id="rId5" Type="http://schemas.openxmlformats.org/officeDocument/2006/relationships/calcChain" Target="calcChain.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EDE-1E0A-4112-A66B-64E9BCFC797D}">
  <dimension ref="A1:M51"/>
  <sheetViews>
    <sheetView tabSelected="1" zoomScale="85" zoomScaleNormal="85" workbookViewId="0">
      <selection activeCell="B17" sqref="B17"/>
    </sheetView>
  </sheetViews>
  <sheetFormatPr defaultRowHeight="12.75"/>
  <cols>
    <col min="1" max="1" width="67.85546875" bestFit="1" customWidth="1"/>
    <col min="2" max="2" width="15.28515625" bestFit="1" customWidth="1"/>
    <col min="4" max="4" width="29.7109375" bestFit="1" customWidth="1"/>
    <col min="7" max="7" width="12.28515625" customWidth="1"/>
  </cols>
  <sheetData>
    <row r="1" spans="1:8" ht="21" thickBot="1">
      <c r="A1" s="64" t="s">
        <v>42</v>
      </c>
      <c r="B1" s="4"/>
      <c r="C1" s="4"/>
      <c r="D1" s="4"/>
      <c r="E1" s="4"/>
      <c r="F1" s="4"/>
      <c r="G1" s="4"/>
      <c r="H1" s="2"/>
    </row>
    <row r="2" spans="1:8" ht="13.5" thickBot="1">
      <c r="A2" s="65" t="s">
        <v>0</v>
      </c>
      <c r="B2" s="4"/>
      <c r="C2" s="4"/>
      <c r="D2" s="4"/>
      <c r="E2" s="4"/>
      <c r="F2" s="4"/>
      <c r="G2" s="4"/>
      <c r="H2" s="2"/>
    </row>
    <row r="3" spans="1:8">
      <c r="A3" s="66"/>
      <c r="B3" s="4"/>
      <c r="C3" s="4"/>
      <c r="D3" s="4"/>
      <c r="E3" s="4"/>
      <c r="F3" s="4"/>
      <c r="G3" s="4"/>
      <c r="H3" s="2"/>
    </row>
    <row r="4" spans="1:8">
      <c r="A4" s="4"/>
      <c r="B4" s="4"/>
      <c r="C4" s="4"/>
      <c r="D4" s="2"/>
      <c r="E4" s="2"/>
      <c r="F4" s="2"/>
      <c r="G4" s="2"/>
      <c r="H4" s="2"/>
    </row>
    <row r="5" spans="1:8" ht="13.5" thickBot="1">
      <c r="A5" s="5" t="s">
        <v>1</v>
      </c>
      <c r="B5" s="4"/>
      <c r="C5" s="4"/>
      <c r="D5" s="2"/>
      <c r="E5" s="2"/>
      <c r="F5" s="2"/>
      <c r="G5" s="2"/>
      <c r="H5" s="2"/>
    </row>
    <row r="6" spans="1:8" ht="13.5" thickBot="1">
      <c r="A6" s="67" t="s">
        <v>26</v>
      </c>
      <c r="B6" s="6" t="s">
        <v>2</v>
      </c>
      <c r="C6" s="4"/>
      <c r="D6" s="2"/>
      <c r="E6" s="2"/>
      <c r="F6" s="2"/>
      <c r="G6" s="2"/>
      <c r="H6" s="2"/>
    </row>
    <row r="7" spans="1:8" ht="13.5" thickBot="1">
      <c r="A7" s="77" t="s">
        <v>3</v>
      </c>
      <c r="B7" s="78">
        <v>105000000</v>
      </c>
      <c r="C7" s="109" t="s">
        <v>48</v>
      </c>
      <c r="D7" s="109"/>
      <c r="E7" s="2"/>
      <c r="F7" s="2"/>
      <c r="G7" s="68"/>
      <c r="H7" s="2"/>
    </row>
    <row r="8" spans="1:8">
      <c r="A8" s="8"/>
      <c r="B8" s="9"/>
      <c r="C8" s="109"/>
      <c r="D8" s="109"/>
      <c r="E8" s="2"/>
      <c r="F8" s="2"/>
      <c r="G8" s="2"/>
      <c r="H8" s="2"/>
    </row>
    <row r="9" spans="1:8" ht="13.5" thickBot="1">
      <c r="A9" s="69" t="s">
        <v>27</v>
      </c>
      <c r="B9" s="9"/>
      <c r="C9" s="109"/>
      <c r="D9" s="109"/>
      <c r="E9" s="2"/>
      <c r="F9" s="2"/>
      <c r="G9" s="2"/>
      <c r="H9" s="2"/>
    </row>
    <row r="10" spans="1:8" ht="13.5" thickBot="1">
      <c r="A10" s="70" t="s">
        <v>28</v>
      </c>
      <c r="B10" s="71" t="s">
        <v>2</v>
      </c>
      <c r="C10" s="109"/>
      <c r="D10" s="109"/>
      <c r="E10" s="2"/>
      <c r="F10" s="2"/>
      <c r="G10" s="2"/>
      <c r="H10" s="2"/>
    </row>
    <row r="11" spans="1:8" s="1" customFormat="1">
      <c r="A11" s="76" t="s">
        <v>4</v>
      </c>
      <c r="B11" s="100">
        <v>0.5</v>
      </c>
      <c r="C11" s="109"/>
      <c r="D11" s="109"/>
      <c r="E11" s="2"/>
      <c r="F11" s="2"/>
      <c r="G11" s="2"/>
      <c r="H11" s="2"/>
    </row>
    <row r="12" spans="1:8" s="1" customFormat="1" ht="13.5" thickBot="1">
      <c r="A12" s="7" t="s">
        <v>5</v>
      </c>
      <c r="B12" s="101">
        <v>0.02</v>
      </c>
      <c r="C12" s="109"/>
      <c r="D12" s="109"/>
      <c r="E12" s="2"/>
      <c r="F12" s="2"/>
      <c r="G12" s="2"/>
      <c r="H12" s="2"/>
    </row>
    <row r="13" spans="1:8" ht="13.5" thickBot="1">
      <c r="A13" s="4"/>
      <c r="B13" s="11"/>
      <c r="C13" s="4"/>
      <c r="D13" s="2"/>
      <c r="E13" s="2"/>
      <c r="F13" s="2"/>
      <c r="G13" s="2"/>
      <c r="H13" s="2"/>
    </row>
    <row r="14" spans="1:8" ht="13.5" thickBot="1">
      <c r="A14" s="12" t="s">
        <v>29</v>
      </c>
      <c r="B14" s="13" t="s">
        <v>2</v>
      </c>
      <c r="C14" s="110" t="s">
        <v>49</v>
      </c>
      <c r="D14" s="111"/>
      <c r="E14" s="2"/>
      <c r="F14" s="2"/>
      <c r="G14" s="2"/>
      <c r="H14" s="2"/>
    </row>
    <row r="15" spans="1:8">
      <c r="A15" s="14" t="s">
        <v>6</v>
      </c>
      <c r="B15" s="15">
        <f>B7*B11</f>
        <v>52500000</v>
      </c>
      <c r="C15" s="112"/>
      <c r="D15" s="111"/>
      <c r="E15" s="2"/>
      <c r="F15" s="2"/>
      <c r="G15" s="2"/>
      <c r="H15" s="2"/>
    </row>
    <row r="16" spans="1:8">
      <c r="A16" s="16" t="s">
        <v>7</v>
      </c>
      <c r="B16" s="15">
        <f>B12*B15</f>
        <v>1050000</v>
      </c>
      <c r="C16" s="112"/>
      <c r="D16" s="111"/>
      <c r="E16" s="2"/>
      <c r="F16" s="2"/>
      <c r="G16" s="2"/>
      <c r="H16" s="2"/>
    </row>
    <row r="17" spans="1:13" ht="13.5" thickBot="1">
      <c r="A17" s="17" t="s">
        <v>30</v>
      </c>
      <c r="B17" s="95">
        <f>CEILING(B16/3600,1)</f>
        <v>292</v>
      </c>
      <c r="C17" s="112"/>
      <c r="D17" s="111"/>
      <c r="E17" s="2"/>
      <c r="F17" s="2"/>
      <c r="G17" s="2"/>
      <c r="H17" s="2"/>
    </row>
    <row r="18" spans="1:13" ht="13.5" thickBot="1">
      <c r="A18" s="4"/>
      <c r="B18" s="11"/>
      <c r="C18" s="4"/>
      <c r="D18" s="2"/>
      <c r="E18" s="2"/>
      <c r="F18" s="2"/>
      <c r="G18" s="2"/>
      <c r="H18" s="2"/>
    </row>
    <row r="19" spans="1:13" ht="13.5" thickBot="1">
      <c r="A19" s="72" t="s">
        <v>31</v>
      </c>
      <c r="B19" s="18"/>
      <c r="C19" s="10"/>
      <c r="D19" s="2"/>
      <c r="E19" s="2"/>
      <c r="F19" s="2"/>
      <c r="G19" s="2"/>
      <c r="H19" s="2"/>
    </row>
    <row r="20" spans="1:13" ht="13.5" thickBot="1">
      <c r="A20" s="19" t="s">
        <v>8</v>
      </c>
      <c r="B20" s="20">
        <v>50</v>
      </c>
      <c r="C20" s="4"/>
      <c r="D20" s="2"/>
      <c r="E20" s="2"/>
      <c r="F20" s="2"/>
      <c r="G20" s="2"/>
      <c r="H20" s="2"/>
    </row>
    <row r="21" spans="1:13" ht="13.5" thickBot="1">
      <c r="A21" s="21"/>
      <c r="B21" s="22"/>
      <c r="C21" s="4"/>
      <c r="D21" s="2"/>
      <c r="E21" s="2"/>
      <c r="F21" s="2"/>
      <c r="G21" s="2"/>
      <c r="H21" s="2"/>
    </row>
    <row r="22" spans="1:13" ht="18.75" thickBot="1">
      <c r="A22" s="23" t="s">
        <v>9</v>
      </c>
      <c r="B22" s="24">
        <f>CEILING(B17/B20,1)</f>
        <v>6</v>
      </c>
      <c r="C22" s="4"/>
      <c r="D22" s="2"/>
      <c r="E22" s="2"/>
      <c r="F22" s="2"/>
      <c r="G22" s="2"/>
      <c r="H22" s="2"/>
    </row>
    <row r="23" spans="1:13">
      <c r="A23" s="25"/>
      <c r="B23" s="25"/>
      <c r="C23" s="4"/>
      <c r="D23" s="2"/>
      <c r="E23" s="2"/>
      <c r="F23" s="2"/>
      <c r="G23" s="2"/>
      <c r="H23" s="2"/>
    </row>
    <row r="24" spans="1:13" ht="12.75" customHeight="1">
      <c r="A24" s="2"/>
      <c r="B24" s="2"/>
      <c r="C24" s="2"/>
      <c r="D24" s="2"/>
      <c r="E24" s="2"/>
      <c r="F24" s="96"/>
      <c r="G24" s="2"/>
      <c r="H24" s="2"/>
      <c r="I24" s="97"/>
      <c r="J24" s="97"/>
      <c r="K24" s="97"/>
      <c r="L24" s="97"/>
      <c r="M24" s="97"/>
    </row>
    <row r="25" spans="1:13" ht="13.5" thickBot="1">
      <c r="A25" s="73"/>
      <c r="B25" s="73"/>
      <c r="C25" s="73"/>
      <c r="D25" s="73"/>
      <c r="E25" s="26" t="s">
        <v>32</v>
      </c>
      <c r="F25" s="26" t="s">
        <v>33</v>
      </c>
      <c r="G25" s="26" t="s">
        <v>34</v>
      </c>
      <c r="H25" s="2"/>
      <c r="I25" s="97"/>
      <c r="J25" s="97"/>
      <c r="K25" s="97"/>
      <c r="L25" s="97"/>
      <c r="M25" s="97"/>
    </row>
    <row r="26" spans="1:13" ht="21" thickBot="1">
      <c r="A26" s="27" t="s">
        <v>17</v>
      </c>
      <c r="B26" s="28"/>
      <c r="C26" s="28"/>
      <c r="D26" s="28"/>
      <c r="E26" s="29">
        <f>E43</f>
        <v>71</v>
      </c>
      <c r="F26" s="30">
        <f>F43</f>
        <v>61</v>
      </c>
      <c r="G26" s="29">
        <f>G43</f>
        <v>32</v>
      </c>
      <c r="H26" s="2"/>
      <c r="I26" s="97"/>
      <c r="J26" s="97"/>
      <c r="K26" s="97"/>
      <c r="L26" s="97"/>
      <c r="M26" s="97"/>
    </row>
    <row r="27" spans="1:13">
      <c r="A27" s="2"/>
      <c r="B27" s="2"/>
      <c r="C27" s="2"/>
      <c r="D27" s="2"/>
      <c r="E27" s="2"/>
      <c r="F27" s="2"/>
      <c r="G27" s="2"/>
      <c r="H27" s="2"/>
      <c r="I27" s="97"/>
      <c r="J27" s="97"/>
      <c r="K27" s="97"/>
      <c r="L27" s="97"/>
      <c r="M27" s="97"/>
    </row>
    <row r="28" spans="1:13" ht="13.5" thickBot="1">
      <c r="A28" s="5" t="s">
        <v>35</v>
      </c>
      <c r="B28" s="3"/>
      <c r="C28" s="2"/>
      <c r="D28" s="2"/>
      <c r="E28" s="2"/>
      <c r="F28" s="2"/>
      <c r="G28" s="2"/>
      <c r="H28" s="2"/>
      <c r="I28" s="97"/>
      <c r="J28" s="97"/>
      <c r="K28" s="97"/>
      <c r="L28" s="97"/>
      <c r="M28" s="97"/>
    </row>
    <row r="29" spans="1:13" ht="13.5" thickBot="1">
      <c r="A29" s="5"/>
      <c r="B29" s="120" t="s">
        <v>36</v>
      </c>
      <c r="C29" s="121"/>
      <c r="D29" s="121"/>
      <c r="E29" s="122" t="s">
        <v>37</v>
      </c>
      <c r="F29" s="122"/>
      <c r="G29" s="123"/>
      <c r="H29" s="2"/>
      <c r="I29" s="113" t="s">
        <v>50</v>
      </c>
      <c r="J29" s="113"/>
      <c r="K29" s="113"/>
      <c r="L29" s="113"/>
      <c r="M29" s="113"/>
    </row>
    <row r="30" spans="1:13">
      <c r="A30" s="102" t="s">
        <v>10</v>
      </c>
      <c r="B30" s="105" t="s">
        <v>43</v>
      </c>
      <c r="C30" s="108" t="s">
        <v>44</v>
      </c>
      <c r="D30" s="102" t="str">
        <f>"Pods 
required for 
"&amp;B20&amp;" TPS"</f>
        <v>Pods 
required for 
50 TPS</v>
      </c>
      <c r="E30" s="108" t="s">
        <v>45</v>
      </c>
      <c r="F30" s="108" t="s">
        <v>38</v>
      </c>
      <c r="G30" s="108" t="s">
        <v>39</v>
      </c>
      <c r="H30" s="2"/>
      <c r="I30" s="113"/>
      <c r="J30" s="113"/>
      <c r="K30" s="113"/>
      <c r="L30" s="113"/>
      <c r="M30" s="113"/>
    </row>
    <row r="31" spans="1:13">
      <c r="A31" s="103"/>
      <c r="B31" s="106"/>
      <c r="C31" s="103"/>
      <c r="D31" s="103"/>
      <c r="E31" s="103"/>
      <c r="F31" s="103"/>
      <c r="G31" s="103"/>
      <c r="H31" s="2"/>
      <c r="I31" s="113"/>
      <c r="J31" s="113"/>
      <c r="K31" s="113"/>
      <c r="L31" s="113"/>
      <c r="M31" s="113"/>
    </row>
    <row r="32" spans="1:13">
      <c r="A32" s="103"/>
      <c r="B32" s="106"/>
      <c r="C32" s="103"/>
      <c r="D32" s="103"/>
      <c r="E32" s="103"/>
      <c r="F32" s="103"/>
      <c r="G32" s="103"/>
      <c r="H32" s="2"/>
      <c r="I32" s="113"/>
      <c r="J32" s="113"/>
      <c r="K32" s="113"/>
      <c r="L32" s="113"/>
      <c r="M32" s="113"/>
    </row>
    <row r="33" spans="1:13" ht="13.5" thickBot="1">
      <c r="A33" s="104"/>
      <c r="B33" s="107"/>
      <c r="C33" s="104"/>
      <c r="D33" s="104"/>
      <c r="E33" s="104"/>
      <c r="F33" s="104"/>
      <c r="G33" s="104"/>
      <c r="H33" s="2"/>
      <c r="I33" s="113"/>
      <c r="J33" s="113"/>
      <c r="K33" s="113"/>
      <c r="L33" s="113"/>
      <c r="M33" s="113"/>
    </row>
    <row r="34" spans="1:13">
      <c r="A34" s="31" t="s">
        <v>11</v>
      </c>
      <c r="B34" s="32">
        <v>4</v>
      </c>
      <c r="C34" s="32">
        <v>1</v>
      </c>
      <c r="D34" s="33">
        <v>1</v>
      </c>
      <c r="E34" s="34">
        <f>$B$22*$B34*$D34</f>
        <v>24</v>
      </c>
      <c r="F34" s="34">
        <f>$B$22*C34*D34</f>
        <v>6</v>
      </c>
      <c r="G34" s="34">
        <f t="shared" ref="G34:G35" si="0">$B$22*D34</f>
        <v>6</v>
      </c>
      <c r="H34" s="2"/>
      <c r="I34" s="113"/>
      <c r="J34" s="113"/>
      <c r="K34" s="113"/>
      <c r="L34" s="113"/>
      <c r="M34" s="113"/>
    </row>
    <row r="35" spans="1:13" ht="13.5" thickBot="1">
      <c r="A35" s="31" t="s">
        <v>12</v>
      </c>
      <c r="B35" s="32">
        <v>0.3</v>
      </c>
      <c r="C35" s="32">
        <v>0.5</v>
      </c>
      <c r="D35" s="33">
        <v>4</v>
      </c>
      <c r="E35" s="34">
        <f>$B$22*$B35*$D35</f>
        <v>7.1999999999999993</v>
      </c>
      <c r="F35" s="34">
        <f>$B$22*C35*D35</f>
        <v>12</v>
      </c>
      <c r="G35" s="34">
        <f t="shared" si="0"/>
        <v>24</v>
      </c>
      <c r="H35" s="2"/>
      <c r="I35" s="113"/>
      <c r="J35" s="113"/>
      <c r="K35" s="113"/>
      <c r="L35" s="113"/>
      <c r="M35" s="113"/>
    </row>
    <row r="36" spans="1:13">
      <c r="A36" s="35" t="s">
        <v>46</v>
      </c>
      <c r="B36" s="36">
        <v>5</v>
      </c>
      <c r="C36" s="36">
        <v>12</v>
      </c>
      <c r="D36" s="37">
        <v>1</v>
      </c>
      <c r="E36" s="38">
        <f>G36*B36</f>
        <v>5</v>
      </c>
      <c r="F36" s="38">
        <f>G36*C36</f>
        <v>12</v>
      </c>
      <c r="G36" s="39">
        <v>1</v>
      </c>
      <c r="H36" s="2"/>
      <c r="I36" s="113"/>
      <c r="J36" s="113"/>
      <c r="K36" s="113"/>
      <c r="L36" s="113"/>
      <c r="M36" s="113"/>
    </row>
    <row r="37" spans="1:13" ht="13.5" thickBot="1">
      <c r="A37" s="40" t="s">
        <v>13</v>
      </c>
      <c r="B37" s="41">
        <v>8</v>
      </c>
      <c r="C37" s="41">
        <v>30</v>
      </c>
      <c r="D37" s="42">
        <v>1</v>
      </c>
      <c r="E37" s="43">
        <v>6</v>
      </c>
      <c r="F37" s="43">
        <v>6</v>
      </c>
      <c r="G37" s="44">
        <v>1</v>
      </c>
      <c r="H37" s="2"/>
      <c r="I37" s="113"/>
      <c r="J37" s="113"/>
      <c r="K37" s="113"/>
      <c r="L37" s="113"/>
      <c r="M37" s="113"/>
    </row>
    <row r="38" spans="1:13" ht="13.5" thickBot="1">
      <c r="A38" s="45"/>
      <c r="B38" s="46"/>
      <c r="C38" s="46"/>
      <c r="D38" s="46"/>
      <c r="E38" s="47">
        <f>SUM(E34:E37)</f>
        <v>42.2</v>
      </c>
      <c r="F38" s="47">
        <f>SUM(F34:F37)</f>
        <v>36</v>
      </c>
      <c r="G38" s="44">
        <f>SUM(G34:G37)</f>
        <v>32</v>
      </c>
      <c r="H38" s="2"/>
      <c r="I38" s="113"/>
      <c r="J38" s="113"/>
      <c r="K38" s="113"/>
      <c r="L38" s="113"/>
      <c r="M38" s="113"/>
    </row>
    <row r="39" spans="1:13" ht="13.5" thickBot="1">
      <c r="A39" s="48" t="s">
        <v>14</v>
      </c>
      <c r="B39" s="49"/>
      <c r="C39" s="49"/>
      <c r="D39" s="49"/>
      <c r="E39" s="50"/>
      <c r="F39" s="51"/>
      <c r="G39" s="52"/>
      <c r="H39" s="2"/>
      <c r="I39" s="113"/>
      <c r="J39" s="113"/>
      <c r="K39" s="113"/>
      <c r="L39" s="113"/>
      <c r="M39" s="113"/>
    </row>
    <row r="40" spans="1:13">
      <c r="A40" s="53" t="s">
        <v>40</v>
      </c>
      <c r="B40" s="54"/>
      <c r="C40" s="54"/>
      <c r="D40" s="54"/>
      <c r="E40" s="55">
        <f t="shared" ref="E40:F40" si="1">E38*0.2</f>
        <v>8.4400000000000013</v>
      </c>
      <c r="F40" s="56">
        <f t="shared" si="1"/>
        <v>7.2</v>
      </c>
      <c r="G40" s="57"/>
      <c r="H40" s="2"/>
    </row>
    <row r="41" spans="1:13">
      <c r="A41" s="53" t="s">
        <v>15</v>
      </c>
      <c r="B41" s="54"/>
      <c r="C41" s="54"/>
      <c r="D41" s="54"/>
      <c r="E41" s="55">
        <f>ROUND((E38+E40)*0.3,2)</f>
        <v>15.19</v>
      </c>
      <c r="F41" s="56">
        <f>(F38+F40)*0.3</f>
        <v>12.96</v>
      </c>
      <c r="G41" s="57"/>
      <c r="H41" s="2"/>
    </row>
    <row r="42" spans="1:13">
      <c r="A42" s="53" t="s">
        <v>16</v>
      </c>
      <c r="B42" s="54"/>
      <c r="C42" s="54"/>
      <c r="D42" s="54"/>
      <c r="E42" s="55">
        <f t="shared" ref="E42:F42" si="2">ROUND((E41*0.3),2)</f>
        <v>4.5599999999999996</v>
      </c>
      <c r="F42" s="56">
        <f t="shared" si="2"/>
        <v>3.89</v>
      </c>
      <c r="G42" s="57"/>
      <c r="H42" s="2"/>
    </row>
    <row r="43" spans="1:13" ht="16.5" thickBot="1">
      <c r="A43" s="58" t="s">
        <v>17</v>
      </c>
      <c r="B43" s="59"/>
      <c r="C43" s="59"/>
      <c r="D43" s="59"/>
      <c r="E43" s="60">
        <f>CEILING((SUM(E38:E42)),1)</f>
        <v>71</v>
      </c>
      <c r="F43" s="61">
        <f>CEILING(SUM(F38:F42),1)</f>
        <v>61</v>
      </c>
      <c r="G43" s="62">
        <f>CEILING((SUM(G34:G37)),1)</f>
        <v>32</v>
      </c>
      <c r="H43" s="2"/>
    </row>
    <row r="44" spans="1:13">
      <c r="A44" s="53"/>
      <c r="B44" s="63"/>
      <c r="C44" s="63"/>
      <c r="D44" s="63"/>
      <c r="E44" s="63" t="s">
        <v>41</v>
      </c>
      <c r="F44" s="63" t="s">
        <v>33</v>
      </c>
      <c r="G44" s="63" t="s">
        <v>34</v>
      </c>
      <c r="H44" s="2"/>
    </row>
    <row r="45" spans="1:13" ht="19.5" thickBot="1">
      <c r="A45" s="2"/>
      <c r="B45" s="4"/>
      <c r="C45" s="74"/>
      <c r="D45" s="75"/>
      <c r="E45" s="75"/>
      <c r="F45" s="75"/>
      <c r="G45" s="75"/>
      <c r="H45" s="2"/>
    </row>
    <row r="46" spans="1:13" ht="13.5" thickBot="1">
      <c r="A46" s="79" t="s">
        <v>18</v>
      </c>
      <c r="B46" s="80"/>
      <c r="C46" s="81"/>
      <c r="D46" s="81"/>
      <c r="E46" s="81"/>
      <c r="F46" s="82"/>
      <c r="G46" s="83"/>
      <c r="H46" s="2"/>
    </row>
    <row r="47" spans="1:13">
      <c r="A47" s="84" t="s">
        <v>19</v>
      </c>
      <c r="B47" s="85" t="s">
        <v>20</v>
      </c>
      <c r="C47" s="98" t="s">
        <v>51</v>
      </c>
      <c r="D47" s="114" t="s">
        <v>47</v>
      </c>
      <c r="E47" s="115"/>
      <c r="F47" s="115"/>
      <c r="G47" s="86"/>
      <c r="H47" s="2"/>
    </row>
    <row r="48" spans="1:13">
      <c r="A48" s="87" t="s">
        <v>21</v>
      </c>
      <c r="B48" s="88"/>
      <c r="C48" s="99" t="s">
        <v>51</v>
      </c>
      <c r="D48" s="116"/>
      <c r="E48" s="117"/>
      <c r="F48" s="117"/>
      <c r="G48" s="89"/>
    </row>
    <row r="49" spans="1:7" ht="13.5" thickBot="1">
      <c r="A49" s="90" t="s">
        <v>22</v>
      </c>
      <c r="B49" s="91"/>
      <c r="C49" s="92"/>
      <c r="D49" s="116"/>
      <c r="E49" s="117"/>
      <c r="F49" s="117"/>
      <c r="G49" s="89"/>
    </row>
    <row r="50" spans="1:7" ht="38.25">
      <c r="A50" s="84" t="s">
        <v>23</v>
      </c>
      <c r="B50" s="85" t="s">
        <v>20</v>
      </c>
      <c r="C50" s="98" t="s">
        <v>52</v>
      </c>
      <c r="D50" s="116"/>
      <c r="E50" s="117"/>
      <c r="F50" s="117"/>
      <c r="G50" s="89"/>
    </row>
    <row r="51" spans="1:7" ht="13.5" thickBot="1">
      <c r="A51" s="90" t="s">
        <v>24</v>
      </c>
      <c r="B51" s="93"/>
      <c r="C51" s="92" t="s">
        <v>25</v>
      </c>
      <c r="D51" s="118"/>
      <c r="E51" s="119"/>
      <c r="F51" s="119"/>
      <c r="G51" s="94"/>
    </row>
  </sheetData>
  <mergeCells count="13">
    <mergeCell ref="C7:D12"/>
    <mergeCell ref="C14:D17"/>
    <mergeCell ref="I29:M39"/>
    <mergeCell ref="G30:G33"/>
    <mergeCell ref="D47:F51"/>
    <mergeCell ref="B29:D29"/>
    <mergeCell ref="E29:G29"/>
    <mergeCell ref="F30:F33"/>
    <mergeCell ref="A30:A33"/>
    <mergeCell ref="B30:B33"/>
    <mergeCell ref="C30:C33"/>
    <mergeCell ref="D30:D33"/>
    <mergeCell ref="E30:E3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ESigent_2.0.0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2025-08-18T13:06:02Z</dcterms:created>
  <dcterms:modified xsi:type="dcterms:W3CDTF">2026-09-15T06:09:39Z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4E235EFD4B216875B7D8A26807532C5C_42</vt:lpwstr>
  </property>
  <property fmtid="{D5CDD505-2E9C-101B-9397-08002B2CF9AE}" pid="3" name="KSOProductBuildVer">
    <vt:lpwstr>1033-6.15.0.8733</vt:lpwstr>
  </property>
</Properties>
</file>