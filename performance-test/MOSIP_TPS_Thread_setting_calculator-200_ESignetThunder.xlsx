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PerfScripts\Release\ESignetThunder_2.0.0\performance-test\"/>
    </mc:Choice>
  </mc:AlternateContent>
  <xr:revisionPtr revIDLastSave="0" documentId="13_ncr:1_{96777960-99B8-4FF7-83EC-C612522CA0E8}" xr6:coauthVersionLast="36" xr6:coauthVersionMax="36" xr10:uidLastSave="{00000000-0000-0000-0000-000000000000}"/>
  <bookViews>
    <workbookView xWindow="0" yWindow="0" windowWidth="15345" windowHeight="4470" xr2:uid="{00F0FE37-4E08-4BBA-8E9E-0C9A5473C445}"/>
  </bookViews>
  <sheets>
    <sheet name="200_EsignetThunder" sheetId="2" r:id="rId1"/>
  </sheets>
  <calcPr calcId="191029" iterateDelta="1E-4"/>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6" i="2" l="1"/>
  <c r="G15" i="2"/>
  <c r="H15" i="2" s="1"/>
  <c r="E15" i="2"/>
  <c r="G14" i="2"/>
  <c r="H14" i="2" s="1"/>
  <c r="E14" i="2"/>
  <c r="G13" i="2"/>
  <c r="H13" i="2" s="1"/>
  <c r="E13" i="2"/>
  <c r="G12" i="2"/>
  <c r="H12" i="2" s="1"/>
  <c r="E12" i="2"/>
  <c r="G11" i="2"/>
  <c r="H11" i="2" s="1"/>
  <c r="E11" i="2"/>
  <c r="G10" i="2"/>
  <c r="H10" i="2" s="1"/>
  <c r="E10" i="2"/>
  <c r="E9" i="2"/>
  <c r="E8" i="2"/>
  <c r="E7" i="2"/>
  <c r="E6" i="2"/>
  <c r="D3" i="2" l="1"/>
  <c r="F10" i="2" s="1"/>
  <c r="I10" i="2" s="1"/>
  <c r="F6" i="2" l="1"/>
  <c r="I6" i="2" s="1"/>
  <c r="F7" i="2"/>
  <c r="I7" i="2" s="1"/>
  <c r="F12" i="2"/>
  <c r="I12" i="2" s="1"/>
  <c r="F8" i="2"/>
  <c r="I8" i="2" s="1"/>
  <c r="F13" i="2"/>
  <c r="I13" i="2" s="1"/>
  <c r="F9" i="2"/>
  <c r="G9" i="2" s="1"/>
  <c r="H9" i="2" s="1"/>
  <c r="F11" i="2"/>
  <c r="I11" i="2" s="1"/>
  <c r="F15" i="2"/>
  <c r="I15" i="2" s="1"/>
  <c r="F14" i="2"/>
  <c r="I14" i="2" s="1"/>
  <c r="G8" i="2" l="1"/>
  <c r="H8" i="2" s="1"/>
  <c r="G7" i="2"/>
  <c r="H7" i="2" s="1"/>
  <c r="G6" i="2"/>
  <c r="F16" i="2"/>
  <c r="I9" i="2"/>
  <c r="G16" i="2" l="1"/>
  <c r="H6" i="2"/>
  <c r="H16" i="2" s="1"/>
  <c r="K6" i="2" s="1"/>
</calcChain>
</file>

<file path=xl/sharedStrings.xml><?xml version="1.0" encoding="utf-8"?>
<sst xmlns="http://schemas.openxmlformats.org/spreadsheetml/2006/main" count="30" uniqueCount="30">
  <si>
    <t>No. of Threads</t>
  </si>
  <si>
    <t>S4</t>
  </si>
  <si>
    <t>Scenarios</t>
  </si>
  <si>
    <t>From Performace Request Document</t>
  </si>
  <si>
    <t>Target Scenario TPS</t>
  </si>
  <si>
    <t>S5</t>
  </si>
  <si>
    <t>S6</t>
  </si>
  <si>
    <t>S7</t>
  </si>
  <si>
    <t>S8</t>
  </si>
  <si>
    <t>S9</t>
  </si>
  <si>
    <t>S10</t>
  </si>
  <si>
    <t>Number of Endpoints in Scenario</t>
  </si>
  <si>
    <t>Weightage
 (%)</t>
  </si>
  <si>
    <t>Load settings for Jmeter</t>
  </si>
  <si>
    <r>
      <t xml:space="preserve">Ramp up Period
( </t>
    </r>
    <r>
      <rPr>
        <sz val="11"/>
        <color theme="1"/>
        <rFont val="Calibri"/>
        <family val="2"/>
        <scheme val="minor"/>
      </rPr>
      <t>${RampUp}</t>
    </r>
    <r>
      <rPr>
        <b/>
        <sz val="11"/>
        <color theme="1"/>
        <rFont val="Calibri"/>
        <family val="2"/>
        <scheme val="minor"/>
      </rPr>
      <t xml:space="preserve"> )</t>
    </r>
  </si>
  <si>
    <t>Total Target TPS --&gt;</t>
  </si>
  <si>
    <r>
      <rPr>
        <b/>
        <i/>
        <sz val="11"/>
        <color rgb="FFFF0000"/>
        <rFont val="Calibri"/>
        <family val="2"/>
        <scheme val="minor"/>
      </rPr>
      <t>(For calculation only)</t>
    </r>
    <r>
      <rPr>
        <b/>
        <sz val="11"/>
        <color rgb="FFFF0000"/>
        <rFont val="Calibri"/>
        <family val="2"/>
        <scheme val="minor"/>
      </rPr>
      <t xml:space="preserve">
Requests per scenario
 X weightage</t>
    </r>
  </si>
  <si>
    <t>From Test Execution</t>
  </si>
  <si>
    <t>Totals --&gt;</t>
  </si>
  <si>
    <t>Fill in Required values in Yellow cells</t>
  </si>
  <si>
    <t>Delay between the initiation of new thread
(recommended - 2 secs)</t>
  </si>
  <si>
    <r>
      <rPr>
        <b/>
        <sz val="11"/>
        <color theme="1"/>
        <rFont val="Calibri"/>
        <family val="2"/>
        <scheme val="minor"/>
      </rPr>
      <t>Note:</t>
    </r>
    <r>
      <rPr>
        <sz val="11"/>
        <color theme="1"/>
        <rFont val="Calibri"/>
        <family val="2"/>
        <scheme val="minor"/>
      </rPr>
      <t xml:space="preserve"> The "No. of Threads" value may need to be increased slightly to achieve the Target TPS in the actual test to compensate for the potential delays within Load generator machine's processing capacity.</t>
    </r>
  </si>
  <si>
    <t>Target Endpoint RPS</t>
  </si>
  <si>
    <t>Calculated RPS --&gt;</t>
  </si>
  <si>
    <t>Apply Values from Gold colored cells as settings in Jmeter</t>
  </si>
  <si>
    <t>S2 User with Biometric Auth</t>
  </si>
  <si>
    <t>S1 User with OTP Auth</t>
  </si>
  <si>
    <t>Scenario Reponse Time
(From shakeout test)
 (ms) (Average)</t>
  </si>
  <si>
    <t>Constant Throughput Timer
(samples per minute)</t>
  </si>
  <si>
    <t>S3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</si>
</sst>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Calibri"/>
      <family val="2"/>
      <scheme val="minor"/>
    </font>
    <font>
      <b/>
      <sz val="11"/>
      <color theme="1"/>
      <name val="Calibri"/>
      <family val="2"/>
      <scheme val="minor"/>
    </font>
    <font>
      <sz val="10"/>
      <color theme="1"/>
      <name val="Arial"/>
      <family val="2"/>
    </font>
    <font>
      <sz val="10"/>
      <color theme="1"/>
      <name val="Calibri"/>
      <family val="2"/>
      <scheme val="minor"/>
    </font>
    <font>
      <i/>
      <u/>
      <sz val="10"/>
      <color theme="1"/>
      <name val="Calibri"/>
      <family val="2"/>
      <scheme val="minor"/>
    </font>
    <font>
      <i/>
      <sz val="11"/>
      <color theme="1"/>
      <name val="Calibri"/>
      <family val="2"/>
      <scheme val="minor"/>
    </font>
    <font>
      <b/>
      <sz val="14"/>
      <color theme="1"/>
      <name val="Calibri"/>
      <family val="2"/>
      <scheme val="minor"/>
    </font>
    <font>
      <b/>
      <sz val="11"/>
      <color rgb="FFFF0000"/>
      <name val="Calibri"/>
      <family val="2"/>
      <scheme val="minor"/>
    </font>
    <font>
      <b/>
      <i/>
      <sz val="11"/>
      <color rgb="FFFF0000"/>
      <name val="Calibri"/>
      <family val="2"/>
      <scheme val="minor"/>
    </font>
    <font>
      <sz val="20"/>
      <color theme="1"/>
      <name val="Calibri"/>
      <family val="2"/>
      <scheme val="minor"/>
    </font>
    <font>
      <sz val="14"/>
      <color rgb="FFFF0000"/>
      <name val="Calibri"/>
      <family val="2"/>
      <scheme val="minor"/>
    </font>
    <font>
      <b/>
      <i/>
      <u/>
      <sz val="10"/>
      <color rgb="FFFF0000"/>
      <name val="Calibri"/>
      <family val="2"/>
      <scheme val="minor"/>
    </font>
    <font>
      <sz val="16"/>
      <color theme="1"/>
      <name val="Calibri"/>
      <family val="2"/>
      <scheme val="minor"/>
    </font>
    <font>
      <sz val="14"/>
      <color theme="1"/>
      <name val="Calibri"/>
      <family val="2"/>
      <scheme val="minor"/>
    </font>
    <font>
      <sz val="12"/>
      <color rgb="FFFF0000"/>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rgb="FF92D050"/>
        <bgColor indexed="64"/>
      </patternFill>
    </fill>
  </fills>
  <borders count="32">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medium">
        <color indexed="64"/>
      </left>
      <right/>
      <top/>
      <bottom/>
      <diagonal/>
    </border>
    <border>
      <left style="thin">
        <color indexed="64"/>
      </left>
      <right/>
      <top/>
      <bottom/>
      <diagonal/>
    </border>
    <border>
      <left style="medium">
        <color indexed="64"/>
      </left>
      <right style="medium">
        <color indexed="64"/>
      </right>
      <top/>
      <bottom/>
      <diagonal/>
    </border>
  </borders>
  <cellStyleXfs count="1">
    <xf numFmtId="0" fontId="0" fillId="0" borderId="0"/>
  </cellStyleXfs>
  <cellXfs count="70">
    <xf numFmtId="0" fontId="0" fillId="0" borderId="0" xfId="0"/>
    <xf numFmtId="0" fontId="2" fillId="0" borderId="0" xfId="0" applyFont="1" applyBorder="1" applyAlignment="1">
      <alignment wrapText="1"/>
    </xf>
    <xf numFmtId="0" fontId="3" fillId="0" borderId="0" xfId="0" applyFont="1" applyBorder="1" applyAlignment="1">
      <alignment wrapText="1"/>
    </xf>
    <xf numFmtId="0" fontId="0" fillId="0" borderId="0" xfId="0" applyFont="1" applyBorder="1" applyAlignment="1">
      <alignment wrapText="1"/>
    </xf>
    <xf numFmtId="0" fontId="4" fillId="0" borderId="0" xfId="0" applyFont="1" applyBorder="1" applyAlignment="1">
      <alignment horizontal="center" vertical="center" wrapText="1"/>
    </xf>
    <xf numFmtId="0" fontId="0" fillId="0" borderId="0" xfId="0" applyBorder="1"/>
    <xf numFmtId="164" fontId="0" fillId="4" borderId="13" xfId="0" applyNumberFormat="1" applyFont="1" applyFill="1" applyBorder="1" applyAlignment="1">
      <alignment horizontal="right" wrapText="1"/>
    </xf>
    <xf numFmtId="0" fontId="0" fillId="0" borderId="0" xfId="0" applyFont="1" applyFill="1" applyBorder="1" applyAlignment="1">
      <alignment horizontal="right" wrapText="1"/>
    </xf>
    <xf numFmtId="164" fontId="0" fillId="4" borderId="5" xfId="0" applyNumberFormat="1" applyFont="1" applyFill="1" applyBorder="1" applyAlignment="1">
      <alignment horizontal="right" wrapText="1"/>
    </xf>
    <xf numFmtId="164" fontId="0" fillId="4" borderId="7" xfId="0" applyNumberFormat="1" applyFont="1" applyFill="1" applyBorder="1" applyAlignment="1">
      <alignment horizontal="right" wrapText="1"/>
    </xf>
    <xf numFmtId="164" fontId="0" fillId="4" borderId="14" xfId="0" applyNumberFormat="1" applyFont="1" applyFill="1" applyBorder="1" applyAlignment="1">
      <alignment horizontal="right" wrapText="1"/>
    </xf>
    <xf numFmtId="0" fontId="0" fillId="4" borderId="17" xfId="0" applyFont="1" applyFill="1" applyBorder="1" applyAlignment="1">
      <alignment horizontal="right" wrapText="1"/>
    </xf>
    <xf numFmtId="164" fontId="0" fillId="4" borderId="16" xfId="0" applyNumberFormat="1" applyFont="1" applyFill="1" applyBorder="1" applyAlignment="1">
      <alignment horizontal="right" wrapText="1"/>
    </xf>
    <xf numFmtId="164" fontId="0" fillId="4" borderId="17" xfId="0" applyNumberFormat="1" applyFont="1" applyFill="1" applyBorder="1" applyAlignment="1">
      <alignment horizontal="right" wrapText="1"/>
    </xf>
    <xf numFmtId="0" fontId="6" fillId="3" borderId="15" xfId="0" applyFont="1" applyFill="1" applyBorder="1" applyAlignment="1">
      <alignment horizontal="right" vertical="center" wrapText="1"/>
    </xf>
    <xf numFmtId="1" fontId="6" fillId="3" borderId="15" xfId="0" applyNumberFormat="1" applyFont="1" applyFill="1" applyBorder="1" applyAlignment="1">
      <alignment horizontal="right" vertical="center" wrapText="1"/>
    </xf>
    <xf numFmtId="0" fontId="0" fillId="5" borderId="28" xfId="0" applyFont="1" applyFill="1" applyBorder="1" applyAlignment="1">
      <alignment horizontal="right" wrapText="1"/>
    </xf>
    <xf numFmtId="1" fontId="0" fillId="5" borderId="20" xfId="0" applyNumberFormat="1" applyFont="1" applyFill="1" applyBorder="1" applyAlignment="1">
      <alignment horizontal="right" wrapText="1"/>
    </xf>
    <xf numFmtId="1" fontId="6" fillId="3" borderId="1" xfId="0" applyNumberFormat="1" applyFont="1" applyFill="1" applyBorder="1" applyAlignment="1">
      <alignment horizontal="right" vertical="center" wrapText="1"/>
    </xf>
    <xf numFmtId="0" fontId="0" fillId="4" borderId="5" xfId="0" applyFont="1" applyFill="1" applyBorder="1" applyAlignment="1">
      <alignment horizontal="center" wrapText="1"/>
    </xf>
    <xf numFmtId="0" fontId="0" fillId="4" borderId="7" xfId="0" applyFont="1" applyFill="1" applyBorder="1" applyAlignment="1">
      <alignment horizontal="center" wrapText="1"/>
    </xf>
    <xf numFmtId="0" fontId="1" fillId="6" borderId="21" xfId="0" applyFont="1" applyFill="1" applyBorder="1" applyAlignment="1">
      <alignment horizontal="center" vertical="center" wrapText="1"/>
    </xf>
    <xf numFmtId="0" fontId="1" fillId="6" borderId="22" xfId="0" applyFont="1" applyFill="1" applyBorder="1" applyAlignment="1">
      <alignment horizontal="center" vertical="center" wrapText="1"/>
    </xf>
    <xf numFmtId="0" fontId="1" fillId="6" borderId="23"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7" fillId="6" borderId="22" xfId="0" applyFont="1" applyFill="1" applyBorder="1" applyAlignment="1">
      <alignment horizontal="center" vertical="center" wrapText="1"/>
    </xf>
    <xf numFmtId="0" fontId="1" fillId="6" borderId="27" xfId="0" applyFont="1" applyFill="1" applyBorder="1" applyAlignment="1">
      <alignment horizontal="center" vertical="center" wrapText="1"/>
    </xf>
    <xf numFmtId="0" fontId="1" fillId="6" borderId="24" xfId="0" applyFont="1" applyFill="1" applyBorder="1" applyAlignment="1">
      <alignment horizontal="center" vertical="center" wrapText="1"/>
    </xf>
    <xf numFmtId="1" fontId="0" fillId="5" borderId="2" xfId="0" applyNumberFormat="1" applyFont="1" applyFill="1" applyBorder="1" applyAlignment="1">
      <alignment horizontal="right" wrapText="1"/>
    </xf>
    <xf numFmtId="0" fontId="0" fillId="3" borderId="15" xfId="0" applyFont="1" applyFill="1" applyBorder="1" applyAlignment="1">
      <alignment horizontal="right" vertical="center" wrapText="1"/>
    </xf>
    <xf numFmtId="0" fontId="1" fillId="0" borderId="27" xfId="0" applyFont="1" applyFill="1" applyBorder="1" applyAlignment="1">
      <alignment horizontal="center" vertical="center" wrapText="1"/>
    </xf>
    <xf numFmtId="1" fontId="0" fillId="0" borderId="0" xfId="0" applyNumberFormat="1" applyFont="1" applyFill="1" applyBorder="1" applyAlignment="1">
      <alignment horizontal="right" wrapText="1"/>
    </xf>
    <xf numFmtId="1" fontId="0" fillId="0" borderId="30" xfId="0" applyNumberFormat="1" applyFont="1" applyFill="1" applyBorder="1" applyAlignment="1">
      <alignment horizontal="right" wrapText="1"/>
    </xf>
    <xf numFmtId="0" fontId="0" fillId="2" borderId="17" xfId="0" applyFont="1" applyFill="1" applyBorder="1" applyAlignment="1">
      <alignment wrapText="1"/>
    </xf>
    <xf numFmtId="0" fontId="0" fillId="2" borderId="18" xfId="0" applyFont="1" applyFill="1" applyBorder="1" applyAlignment="1">
      <alignment horizontal="right" wrapText="1"/>
    </xf>
    <xf numFmtId="0" fontId="0" fillId="2" borderId="19" xfId="0" applyFont="1" applyFill="1" applyBorder="1" applyAlignment="1">
      <alignment horizontal="right" wrapText="1"/>
    </xf>
    <xf numFmtId="0" fontId="0" fillId="2" borderId="13" xfId="0" applyFont="1" applyFill="1" applyBorder="1" applyAlignment="1">
      <alignment wrapText="1"/>
    </xf>
    <xf numFmtId="0" fontId="0" fillId="2" borderId="6" xfId="0" applyFont="1" applyFill="1" applyBorder="1" applyAlignment="1">
      <alignment horizontal="right" wrapText="1"/>
    </xf>
    <xf numFmtId="0" fontId="0" fillId="2" borderId="10" xfId="0" applyFont="1" applyFill="1" applyBorder="1" applyAlignment="1">
      <alignment horizontal="right" wrapText="1"/>
    </xf>
    <xf numFmtId="0" fontId="5" fillId="2" borderId="13" xfId="0" applyFont="1" applyFill="1" applyBorder="1" applyAlignment="1">
      <alignment wrapText="1"/>
    </xf>
    <xf numFmtId="0" fontId="5" fillId="2" borderId="6" xfId="0" applyFont="1" applyFill="1" applyBorder="1" applyAlignment="1">
      <alignment horizontal="right" wrapText="1"/>
    </xf>
    <xf numFmtId="0" fontId="5" fillId="2" borderId="10" xfId="0" applyFont="1" applyFill="1" applyBorder="1" applyAlignment="1">
      <alignment horizontal="right" wrapText="1"/>
    </xf>
    <xf numFmtId="0" fontId="3" fillId="2" borderId="10" xfId="0" applyFont="1" applyFill="1" applyBorder="1" applyAlignment="1">
      <alignment wrapText="1"/>
    </xf>
    <xf numFmtId="0" fontId="0" fillId="2" borderId="14" xfId="0" applyFont="1" applyFill="1" applyBorder="1" applyAlignment="1">
      <alignment wrapText="1"/>
    </xf>
    <xf numFmtId="0" fontId="0" fillId="2" borderId="8" xfId="0" applyFont="1" applyFill="1" applyBorder="1" applyAlignment="1">
      <alignment horizontal="right" wrapText="1"/>
    </xf>
    <xf numFmtId="0" fontId="3" fillId="2" borderId="11" xfId="0" applyFont="1" applyFill="1" applyBorder="1" applyAlignment="1">
      <alignment wrapText="1"/>
    </xf>
    <xf numFmtId="0" fontId="0" fillId="2" borderId="15" xfId="0" applyFill="1" applyBorder="1" applyAlignment="1">
      <alignment horizontal="center"/>
    </xf>
    <xf numFmtId="0" fontId="11" fillId="0" borderId="9" xfId="0" applyFont="1" applyFill="1" applyBorder="1" applyAlignment="1">
      <alignment horizontal="center" vertical="center" wrapText="1"/>
    </xf>
    <xf numFmtId="0" fontId="0" fillId="5" borderId="20" xfId="0" applyFill="1" applyBorder="1" applyAlignment="1">
      <alignment horizontal="center"/>
    </xf>
    <xf numFmtId="0" fontId="12" fillId="2" borderId="26" xfId="0" applyFont="1" applyFill="1" applyBorder="1" applyAlignment="1">
      <alignment horizontal="right" vertical="center" wrapText="1"/>
    </xf>
    <xf numFmtId="164" fontId="12" fillId="4" borderId="26" xfId="0" applyNumberFormat="1" applyFont="1" applyFill="1" applyBorder="1" applyAlignment="1">
      <alignment horizontal="right" vertical="center" wrapText="1"/>
    </xf>
    <xf numFmtId="164" fontId="6" fillId="3" borderId="15" xfId="0" applyNumberFormat="1" applyFont="1" applyFill="1" applyBorder="1" applyAlignment="1">
      <alignment horizontal="right" vertical="center" wrapText="1"/>
    </xf>
    <xf numFmtId="0" fontId="0" fillId="4" borderId="16" xfId="0" applyFont="1" applyFill="1" applyBorder="1" applyAlignment="1">
      <alignment horizontal="left" wrapText="1"/>
    </xf>
    <xf numFmtId="0" fontId="0" fillId="4" borderId="5" xfId="0" applyFont="1" applyFill="1" applyBorder="1" applyAlignment="1">
      <alignment horizontal="left"/>
    </xf>
    <xf numFmtId="0" fontId="1" fillId="6" borderId="9" xfId="0" applyFont="1" applyFill="1" applyBorder="1" applyAlignment="1">
      <alignment horizontal="center" vertical="center" wrapText="1"/>
    </xf>
    <xf numFmtId="0" fontId="1" fillId="6" borderId="31" xfId="0" applyFont="1" applyFill="1" applyBorder="1" applyAlignment="1">
      <alignment horizontal="center" vertical="center" wrapText="1"/>
    </xf>
    <xf numFmtId="0" fontId="1" fillId="6" borderId="15" xfId="0" applyFont="1" applyFill="1" applyBorder="1" applyAlignment="1">
      <alignment horizontal="center" vertical="center" wrapText="1"/>
    </xf>
    <xf numFmtId="0" fontId="13" fillId="7" borderId="22" xfId="0" applyFont="1" applyFill="1" applyBorder="1" applyAlignment="1">
      <alignment horizontal="right" wrapText="1"/>
    </xf>
    <xf numFmtId="0" fontId="13" fillId="7" borderId="26" xfId="0" applyFont="1" applyFill="1" applyBorder="1" applyAlignment="1">
      <alignment horizontal="right" wrapText="1"/>
    </xf>
    <xf numFmtId="0" fontId="10" fillId="0" borderId="29" xfId="0" applyFont="1" applyBorder="1" applyAlignment="1">
      <alignment horizontal="center" vertical="center"/>
    </xf>
    <xf numFmtId="0" fontId="10" fillId="0" borderId="0" xfId="0" applyFont="1" applyBorder="1" applyAlignment="1">
      <alignment horizontal="center" vertical="center"/>
    </xf>
    <xf numFmtId="0" fontId="14" fillId="0" borderId="0" xfId="0" applyFont="1" applyBorder="1" applyAlignment="1">
      <alignment horizontal="center" vertical="center"/>
    </xf>
    <xf numFmtId="0" fontId="9" fillId="7" borderId="22" xfId="0" applyFont="1" applyFill="1" applyBorder="1" applyAlignment="1">
      <alignment horizontal="right" wrapText="1"/>
    </xf>
    <xf numFmtId="0" fontId="9" fillId="7" borderId="26" xfId="0" applyFont="1" applyFill="1" applyBorder="1" applyAlignment="1">
      <alignment horizontal="right" wrapText="1"/>
    </xf>
    <xf numFmtId="0" fontId="11" fillId="0" borderId="3" xfId="0" applyFont="1" applyFill="1" applyBorder="1" applyAlignment="1">
      <alignment horizontal="center" vertical="center" wrapText="1"/>
    </xf>
    <xf numFmtId="0" fontId="11" fillId="0" borderId="12" xfId="0" applyFont="1" applyFill="1" applyBorder="1" applyAlignment="1">
      <alignment horizontal="center" vertical="center" wrapText="1"/>
    </xf>
    <xf numFmtId="0" fontId="11" fillId="0" borderId="4" xfId="0" applyFont="1" applyFill="1" applyBorder="1" applyAlignment="1">
      <alignment horizontal="center" vertical="center" wrapText="1"/>
    </xf>
    <xf numFmtId="0" fontId="11" fillId="0" borderId="25" xfId="0" applyFont="1" applyFill="1" applyBorder="1" applyAlignment="1">
      <alignment horizontal="center" vertical="center" wrapText="1"/>
    </xf>
    <xf numFmtId="0" fontId="11" fillId="0" borderId="22" xfId="0" applyFont="1" applyFill="1" applyBorder="1" applyAlignment="1">
      <alignment horizontal="center" vertical="center" wrapText="1"/>
    </xf>
    <xf numFmtId="0" fontId="11" fillId="0" borderId="26" xfId="0" applyFont="1" applyFill="1" applyBorder="1" applyAlignment="1">
      <alignment horizontal="center" vertical="center" wrapText="1"/>
    </xf>
  </cellXfs>
  <cellStyles count="1">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F0A02-FD69-493C-AB91-7265D86F2CBF}">
  <dimension ref="A1:K17"/>
  <sheetViews>
    <sheetView tabSelected="1" workbookViewId="0">
      <selection activeCell="D7" sqref="D7"/>
    </sheetView>
  </sheetViews>
  <sheetFormatPr defaultRowHeight="15" x14ac:dyDescent="0.25"/>
  <cols>
    <col min="1" max="1" width="27.85546875" customWidth="1"/>
    <col min="2" max="2" width="12" bestFit="1" customWidth="1"/>
    <col min="3" max="3" width="11.42578125" customWidth="1"/>
    <col min="4" max="4" width="16.7109375" customWidth="1"/>
    <col min="5" max="5" width="20.7109375" hidden="1" customWidth="1"/>
    <col min="6" max="6" width="12.42578125" customWidth="1"/>
    <col min="7" max="7" width="13.5703125" customWidth="1"/>
    <col min="8" max="8" width="13" customWidth="1"/>
    <col min="9" max="9" width="15.85546875" customWidth="1"/>
    <col min="10" max="10" width="7.5703125" customWidth="1"/>
    <col min="11" max="11" width="20.140625" customWidth="1"/>
  </cols>
  <sheetData>
    <row r="1" spans="1:11" ht="19.5" thickBot="1" x14ac:dyDescent="0.3">
      <c r="A1" s="59" t="s">
        <v>19</v>
      </c>
      <c r="B1" s="60"/>
      <c r="C1" s="60"/>
      <c r="D1" s="60"/>
      <c r="H1" s="61" t="s">
        <v>24</v>
      </c>
      <c r="I1" s="61"/>
      <c r="J1" s="61"/>
      <c r="K1" s="61"/>
    </row>
    <row r="2" spans="1:11" ht="27" customHeight="1" thickBot="1" x14ac:dyDescent="0.45">
      <c r="A2" s="62" t="s">
        <v>15</v>
      </c>
      <c r="B2" s="62"/>
      <c r="C2" s="63"/>
      <c r="D2" s="49">
        <v>100</v>
      </c>
      <c r="E2" s="2"/>
      <c r="F2" s="3"/>
      <c r="G2" s="2"/>
      <c r="H2" s="2"/>
      <c r="I2" s="2"/>
      <c r="J2" s="2"/>
      <c r="K2" s="1"/>
    </row>
    <row r="3" spans="1:11" ht="21.75" thickBot="1" x14ac:dyDescent="0.35">
      <c r="A3" s="57" t="s">
        <v>23</v>
      </c>
      <c r="B3" s="57"/>
      <c r="C3" s="58"/>
      <c r="D3" s="50">
        <f>$D$2*(SUM($E6:$E15)/($C$16*100))</f>
        <v>1100</v>
      </c>
      <c r="E3" s="2"/>
      <c r="F3" s="3"/>
      <c r="G3" s="2"/>
      <c r="H3" s="2"/>
      <c r="I3" s="2"/>
      <c r="J3" s="2"/>
      <c r="K3" s="1"/>
    </row>
    <row r="4" spans="1:11" ht="26.25" thickBot="1" x14ac:dyDescent="0.3">
      <c r="A4" s="64" t="s">
        <v>3</v>
      </c>
      <c r="B4" s="65"/>
      <c r="C4" s="66"/>
      <c r="D4" s="47" t="s">
        <v>17</v>
      </c>
      <c r="E4" s="4"/>
      <c r="F4" s="2"/>
      <c r="G4" s="4"/>
      <c r="H4" s="67" t="s">
        <v>13</v>
      </c>
      <c r="I4" s="68"/>
      <c r="J4" s="68"/>
      <c r="K4" s="69"/>
    </row>
    <row r="5" spans="1:11" ht="75.75" thickBot="1" x14ac:dyDescent="0.3">
      <c r="A5" s="21" t="s">
        <v>2</v>
      </c>
      <c r="B5" s="22" t="s">
        <v>11</v>
      </c>
      <c r="C5" s="23" t="s">
        <v>12</v>
      </c>
      <c r="D5" s="24" t="s">
        <v>27</v>
      </c>
      <c r="E5" s="25" t="s">
        <v>16</v>
      </c>
      <c r="F5" s="21" t="s">
        <v>22</v>
      </c>
      <c r="G5" s="22" t="s">
        <v>4</v>
      </c>
      <c r="H5" s="26" t="s">
        <v>0</v>
      </c>
      <c r="I5" s="27" t="s">
        <v>28</v>
      </c>
      <c r="J5" s="30"/>
      <c r="K5" s="23" t="s">
        <v>14</v>
      </c>
    </row>
    <row r="6" spans="1:11" x14ac:dyDescent="0.25">
      <c r="A6" s="52" t="s">
        <v>26</v>
      </c>
      <c r="B6" s="33">
        <v>11</v>
      </c>
      <c r="C6" s="34">
        <v>80</v>
      </c>
      <c r="D6" s="35">
        <v>17000</v>
      </c>
      <c r="E6" s="11">
        <f>$C6*$B6</f>
        <v>880</v>
      </c>
      <c r="F6" s="12">
        <f t="shared" ref="F6:F15" si="0">$D$3*$E6/SUM($E$6:$E$16)</f>
        <v>880</v>
      </c>
      <c r="G6" s="13">
        <f t="shared" ref="G6:G15" si="1">IF(ISNUMBER(B6),F6/B6,"")</f>
        <v>80</v>
      </c>
      <c r="H6" s="16">
        <f>IF(ISNUMBER($D6*$G6),ROUNDUP($D6*$G6/1000+1,0),"")</f>
        <v>1361</v>
      </c>
      <c r="I6" s="17">
        <f>ROUNDUP($F6,0)*60</f>
        <v>52800</v>
      </c>
      <c r="J6" s="31"/>
      <c r="K6" s="48">
        <f>$H$16*K12</f>
        <v>3204</v>
      </c>
    </row>
    <row r="7" spans="1:11" ht="15.75" thickBot="1" x14ac:dyDescent="0.3">
      <c r="A7" s="53" t="s">
        <v>25</v>
      </c>
      <c r="B7" s="36">
        <v>11</v>
      </c>
      <c r="C7" s="37">
        <v>20</v>
      </c>
      <c r="D7" s="38">
        <v>12000</v>
      </c>
      <c r="E7" s="11">
        <f t="shared" ref="E7:E15" si="2">$C7*$B7</f>
        <v>220</v>
      </c>
      <c r="F7" s="8">
        <f t="shared" si="0"/>
        <v>220</v>
      </c>
      <c r="G7" s="6">
        <f t="shared" si="1"/>
        <v>20</v>
      </c>
      <c r="H7" s="16">
        <f t="shared" ref="H7:H15" si="3">IF(ISNUMBER($D7*$G7),ROUNDUP($D7*$G7/1000+1,0),"")</f>
        <v>241</v>
      </c>
      <c r="I7" s="17">
        <f t="shared" ref="I7:I15" si="4">ROUNDUP($F7,0)*60</f>
        <v>13200</v>
      </c>
      <c r="J7" s="31"/>
      <c r="K7" s="5"/>
    </row>
    <row r="8" spans="1:11" x14ac:dyDescent="0.25">
      <c r="A8" s="19" t="s">
        <v>29</v>
      </c>
      <c r="B8" s="36"/>
      <c r="C8" s="37"/>
      <c r="D8" s="38"/>
      <c r="E8" s="11">
        <f t="shared" si="2"/>
        <v>0</v>
      </c>
      <c r="F8" s="8">
        <f t="shared" si="0"/>
        <v>0</v>
      </c>
      <c r="G8" s="6" t="str">
        <f t="shared" si="1"/>
        <v/>
      </c>
      <c r="H8" s="16" t="str">
        <f t="shared" si="3"/>
        <v/>
      </c>
      <c r="I8" s="28">
        <f t="shared" si="4"/>
        <v>0</v>
      </c>
      <c r="J8" s="31"/>
      <c r="K8" s="54" t="s">
        <v>20</v>
      </c>
    </row>
    <row r="9" spans="1:11" x14ac:dyDescent="0.25">
      <c r="A9" s="19" t="s">
        <v>1</v>
      </c>
      <c r="B9" s="36"/>
      <c r="C9" s="37"/>
      <c r="D9" s="38"/>
      <c r="E9" s="11">
        <f t="shared" si="2"/>
        <v>0</v>
      </c>
      <c r="F9" s="8">
        <f t="shared" si="0"/>
        <v>0</v>
      </c>
      <c r="G9" s="6" t="str">
        <f t="shared" si="1"/>
        <v/>
      </c>
      <c r="H9" s="16" t="str">
        <f t="shared" si="3"/>
        <v/>
      </c>
      <c r="I9" s="28">
        <f t="shared" si="4"/>
        <v>0</v>
      </c>
      <c r="J9" s="31"/>
      <c r="K9" s="55"/>
    </row>
    <row r="10" spans="1:11" x14ac:dyDescent="0.25">
      <c r="A10" s="19" t="s">
        <v>5</v>
      </c>
      <c r="B10" s="36"/>
      <c r="C10" s="37"/>
      <c r="D10" s="38"/>
      <c r="E10" s="11">
        <f t="shared" si="2"/>
        <v>0</v>
      </c>
      <c r="F10" s="8">
        <f t="shared" si="0"/>
        <v>0</v>
      </c>
      <c r="G10" s="6" t="str">
        <f t="shared" si="1"/>
        <v/>
      </c>
      <c r="H10" s="16" t="str">
        <f t="shared" si="3"/>
        <v/>
      </c>
      <c r="I10" s="17">
        <f t="shared" si="4"/>
        <v>0</v>
      </c>
      <c r="J10" s="31"/>
      <c r="K10" s="55"/>
    </row>
    <row r="11" spans="1:11" ht="15" customHeight="1" thickBot="1" x14ac:dyDescent="0.3">
      <c r="A11" s="19" t="s">
        <v>6</v>
      </c>
      <c r="B11" s="39"/>
      <c r="C11" s="40"/>
      <c r="D11" s="41"/>
      <c r="E11" s="11">
        <f t="shared" si="2"/>
        <v>0</v>
      </c>
      <c r="F11" s="8">
        <f t="shared" si="0"/>
        <v>0</v>
      </c>
      <c r="G11" s="6" t="str">
        <f t="shared" si="1"/>
        <v/>
      </c>
      <c r="H11" s="16" t="str">
        <f t="shared" si="3"/>
        <v/>
      </c>
      <c r="I11" s="17">
        <f t="shared" si="4"/>
        <v>0</v>
      </c>
      <c r="J11" s="31"/>
      <c r="K11" s="56"/>
    </row>
    <row r="12" spans="1:11" ht="15.75" thickBot="1" x14ac:dyDescent="0.3">
      <c r="A12" s="19" t="s">
        <v>7</v>
      </c>
      <c r="B12" s="39"/>
      <c r="C12" s="40"/>
      <c r="D12" s="41"/>
      <c r="E12" s="11">
        <f t="shared" si="2"/>
        <v>0</v>
      </c>
      <c r="F12" s="8">
        <f t="shared" si="0"/>
        <v>0</v>
      </c>
      <c r="G12" s="6" t="str">
        <f t="shared" si="1"/>
        <v/>
      </c>
      <c r="H12" s="16" t="str">
        <f t="shared" si="3"/>
        <v/>
      </c>
      <c r="I12" s="17">
        <f t="shared" si="4"/>
        <v>0</v>
      </c>
      <c r="J12" s="32"/>
      <c r="K12" s="46">
        <v>2</v>
      </c>
    </row>
    <row r="13" spans="1:11" x14ac:dyDescent="0.25">
      <c r="A13" s="19" t="s">
        <v>8</v>
      </c>
      <c r="B13" s="36"/>
      <c r="C13" s="37"/>
      <c r="D13" s="42"/>
      <c r="E13" s="11">
        <f t="shared" si="2"/>
        <v>0</v>
      </c>
      <c r="F13" s="8">
        <f t="shared" si="0"/>
        <v>0</v>
      </c>
      <c r="G13" s="6" t="str">
        <f t="shared" si="1"/>
        <v/>
      </c>
      <c r="H13" s="16" t="str">
        <f t="shared" si="3"/>
        <v/>
      </c>
      <c r="I13" s="17">
        <f t="shared" si="4"/>
        <v>0</v>
      </c>
      <c r="J13" s="32"/>
    </row>
    <row r="14" spans="1:11" x14ac:dyDescent="0.25">
      <c r="A14" s="19" t="s">
        <v>9</v>
      </c>
      <c r="B14" s="36"/>
      <c r="C14" s="37"/>
      <c r="D14" s="38"/>
      <c r="E14" s="11">
        <f t="shared" si="2"/>
        <v>0</v>
      </c>
      <c r="F14" s="8">
        <f t="shared" si="0"/>
        <v>0</v>
      </c>
      <c r="G14" s="6" t="str">
        <f t="shared" si="1"/>
        <v/>
      </c>
      <c r="H14" s="16" t="str">
        <f t="shared" si="3"/>
        <v/>
      </c>
      <c r="I14" s="17">
        <f t="shared" si="4"/>
        <v>0</v>
      </c>
      <c r="J14" s="32"/>
    </row>
    <row r="15" spans="1:11" ht="15.75" thickBot="1" x14ac:dyDescent="0.3">
      <c r="A15" s="20" t="s">
        <v>10</v>
      </c>
      <c r="B15" s="43"/>
      <c r="C15" s="44"/>
      <c r="D15" s="45"/>
      <c r="E15" s="11">
        <f t="shared" si="2"/>
        <v>0</v>
      </c>
      <c r="F15" s="9">
        <f t="shared" si="0"/>
        <v>0</v>
      </c>
      <c r="G15" s="10" t="str">
        <f t="shared" si="1"/>
        <v/>
      </c>
      <c r="H15" s="16" t="str">
        <f t="shared" si="3"/>
        <v/>
      </c>
      <c r="I15" s="17">
        <f t="shared" si="4"/>
        <v>0</v>
      </c>
      <c r="J15" s="32"/>
    </row>
    <row r="16" spans="1:11" ht="19.5" thickBot="1" x14ac:dyDescent="0.3">
      <c r="C16" s="29" t="str">
        <f>_xlfn.CONCAT(SUM(C6:C15)," %")</f>
        <v>100 %</v>
      </c>
      <c r="D16" s="14" t="s">
        <v>18</v>
      </c>
      <c r="E16" s="7"/>
      <c r="F16" s="51">
        <f>SUM(F6:F15)</f>
        <v>1100</v>
      </c>
      <c r="G16" s="15">
        <f>SUM(G6:G15)</f>
        <v>100</v>
      </c>
      <c r="H16" s="18">
        <f>SUM(H6:H15)</f>
        <v>1602</v>
      </c>
    </row>
    <row r="17" spans="1:1" x14ac:dyDescent="0.25">
      <c r="A17" t="s">
        <v>21</v>
      </c>
    </row>
  </sheetData>
  <protectedRanges>
    <protectedRange sqref="K12" name="Range3"/>
    <protectedRange sqref="B6:D15" name="Range2"/>
    <protectedRange sqref="D3" name="Range1"/>
  </protectedRanges>
  <mergeCells count="7">
    <mergeCell ref="K8:K11"/>
    <mergeCell ref="A3:C3"/>
    <mergeCell ref="A1:D1"/>
    <mergeCell ref="H1:K1"/>
    <mergeCell ref="A2:C2"/>
    <mergeCell ref="A4:C4"/>
    <mergeCell ref="H4:K4"/>
  </mergeCells>
  <conditionalFormatting sqref="C16">
    <cfRule type="cellIs" dxfId="0" priority="1" operator="notEqual">
      <formula>"100 %"</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200_EsignetThunder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Deepesh Gurung</dc:creator>
  <cp:lastModifiedBy>Deepesh Gurung</cp:lastModifiedBy>
  <dcterms:created xsi:type="dcterms:W3CDTF">2025-09-04T04:29:05Z</dcterms:created>
  <dcterms:modified xsi:type="dcterms:W3CDTF">2026-08-20T07:15:11Z</dcterms:modified>
</cp:coreProperties>
</file>